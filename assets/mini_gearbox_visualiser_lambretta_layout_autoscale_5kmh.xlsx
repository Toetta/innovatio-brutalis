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" sheetId="1" state="visible" r:id="rId1"/>
    <sheet xmlns:r="http://schemas.openxmlformats.org/officeDocument/2006/relationships" name="Looku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EF3FA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0" fillId="2" borderId="1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8" customWidth="1" min="13" max="13"/>
    <col width="18" customWidth="1" min="14" max="14"/>
  </cols>
  <sheetData>
    <row r="1">
      <c r="A1" s="1" t="inlineStr">
        <is>
          <t>Classic Mini Gearbox Visualiser (Lambretta-style speed-centre layout)</t>
        </is>
      </c>
    </row>
    <row r="2">
      <c r="M2" s="8" t="inlineStr">
        <is>
          <t>Auto speed scale</t>
        </is>
      </c>
    </row>
    <row r="3">
      <c r="A3" s="2" t="inlineStr">
        <is>
          <t>LEFT setup</t>
        </is>
      </c>
      <c r="G3" s="2" t="inlineStr">
        <is>
          <t>RIGHT setup</t>
        </is>
      </c>
      <c r="M3" s="8" t="inlineStr">
        <is>
          <t>Left top gear ratio</t>
        </is>
      </c>
      <c r="N3">
        <f>IF($B$25&gt;0,$B$25,$B$24)</f>
        <v/>
      </c>
    </row>
    <row r="4">
      <c r="A4" s="3" t="inlineStr">
        <is>
          <t>Wheel/tyre preset</t>
        </is>
      </c>
      <c r="B4" s="4" t="n"/>
      <c r="C4" s="4" t="inlineStr">
        <is>
          <t>165/70-10</t>
        </is>
      </c>
      <c r="D4" s="4" t="n"/>
      <c r="E4" s="4" t="n"/>
      <c r="G4" s="3" t="inlineStr">
        <is>
          <t>Wheel/tyre preset</t>
        </is>
      </c>
      <c r="H4" s="4" t="n"/>
      <c r="I4" s="4" t="inlineStr">
        <is>
          <t>165/70-10</t>
        </is>
      </c>
      <c r="J4" s="4" t="n"/>
      <c r="M4" s="8" t="inlineStr">
        <is>
          <t>Right top gear ratio</t>
        </is>
      </c>
      <c r="N4">
        <f>IF($H$25&gt;0,$H$25,$H$24)</f>
        <v/>
      </c>
    </row>
    <row r="5">
      <c r="A5" s="3" t="inlineStr">
        <is>
          <t>Tyre width (mm)</t>
        </is>
      </c>
      <c r="B5" s="4" t="n"/>
      <c r="C5" s="4">
        <f>INDEX(Lookups!$G$3:$G$7, MATCH($C$4, Lookups!$F$3:$F$7, 0))</f>
        <v/>
      </c>
      <c r="D5" s="4" t="n"/>
      <c r="E5" s="4" t="n"/>
      <c r="G5" s="3" t="inlineStr">
        <is>
          <t>Tyre width (mm)</t>
        </is>
      </c>
      <c r="H5" s="4" t="n"/>
      <c r="I5" s="4">
        <f>INDEX(Lookups!$G$3:$G$7, MATCH($I$4, Lookups!$F$3:$F$7, 0))</f>
        <v/>
      </c>
      <c r="J5" s="4" t="n"/>
      <c r="M5" s="8" t="inlineStr">
        <is>
          <t>Speed step (km/h)</t>
        </is>
      </c>
      <c r="N5" t="n">
        <v>5</v>
      </c>
    </row>
    <row r="6">
      <c r="A6" s="3" t="inlineStr">
        <is>
          <t>Aspect ratio</t>
        </is>
      </c>
      <c r="B6" s="4" t="n"/>
      <c r="C6" s="4">
        <f>INDEX(Lookups!$H$3:$H$7, MATCH($C$4, Lookups!$F$3:$F$7, 0))</f>
        <v/>
      </c>
      <c r="D6" s="4" t="n"/>
      <c r="E6" s="4" t="n"/>
      <c r="G6" s="3" t="inlineStr">
        <is>
          <t>Aspect ratio</t>
        </is>
      </c>
      <c r="H6" s="4" t="n"/>
      <c r="I6" s="4">
        <f>INDEX(Lookups!$H$3:$H$7, MATCH($I$4, Lookups!$F$3:$F$7, 0))</f>
        <v/>
      </c>
      <c r="J6" s="4" t="n"/>
      <c r="M6" s="8" t="inlineStr">
        <is>
          <t>Max speed @ limiter (km/h)</t>
        </is>
      </c>
      <c r="N6">
        <f>ROUNDUP(MAX(($C$14*$C$15*60)/($C$16*$N$3*1000),($I$14*$I$15*60)/($I$16*$N$4*1000))/$N$5,0)*$N$5</f>
        <v/>
      </c>
    </row>
    <row r="7">
      <c r="A7" s="3" t="inlineStr">
        <is>
          <t>Rim diameter (in)</t>
        </is>
      </c>
      <c r="B7" s="4" t="n"/>
      <c r="C7" s="4">
        <f>INDEX(Lookups!$I$3:$I$7, MATCH($C$4, Lookups!$F$3:$F$7, 0))</f>
        <v/>
      </c>
      <c r="D7" s="4" t="n"/>
      <c r="E7" s="4" t="n"/>
      <c r="G7" s="3" t="inlineStr">
        <is>
          <t>Rim diameter (in)</t>
        </is>
      </c>
      <c r="H7" s="4" t="n"/>
      <c r="I7" s="4">
        <f>INDEX(Lookups!$I$3:$I$7, MATCH($I$4, Lookups!$F$3:$F$7, 0))</f>
        <v/>
      </c>
      <c r="J7" s="4" t="n"/>
    </row>
    <row r="8">
      <c r="A8" s="3" t="inlineStr">
        <is>
          <t>Final drive (CWP)</t>
        </is>
      </c>
      <c r="B8" s="4" t="n"/>
      <c r="C8" s="4" t="n">
        <v>3.1</v>
      </c>
      <c r="D8" s="4" t="n"/>
      <c r="E8" s="4" t="n"/>
      <c r="G8" s="3" t="inlineStr">
        <is>
          <t>Final drive (CWP)</t>
        </is>
      </c>
      <c r="H8" s="4" t="n"/>
      <c r="I8" s="4" t="n">
        <v>3.1</v>
      </c>
      <c r="J8" s="4" t="n"/>
    </row>
    <row r="9">
      <c r="A9" s="3" t="inlineStr">
        <is>
          <t>Drop gear option</t>
        </is>
      </c>
      <c r="B9" s="4" t="n"/>
      <c r="C9" s="4" t="inlineStr">
        <is>
          <t>1:1 (23/23)</t>
        </is>
      </c>
      <c r="D9" s="4" t="n"/>
      <c r="E9" s="4" t="n"/>
      <c r="G9" s="3" t="inlineStr">
        <is>
          <t>Drop gear option</t>
        </is>
      </c>
      <c r="H9" s="4" t="n"/>
      <c r="I9" s="4" t="inlineStr">
        <is>
          <t>1:1 (23/23)</t>
        </is>
      </c>
      <c r="J9" s="4" t="n"/>
    </row>
    <row r="10">
      <c r="A10" s="3" t="inlineStr">
        <is>
          <t>Drop gear ratio</t>
        </is>
      </c>
      <c r="B10" s="4" t="n"/>
      <c r="C10" s="4">
        <f>INDEX(Lookups!$B$3:$B$6, MATCH($C$9, Lookups!$A$3:$A$6, 0))</f>
        <v/>
      </c>
      <c r="D10" s="4" t="n"/>
      <c r="E10" s="4" t="n"/>
      <c r="G10" s="3" t="inlineStr">
        <is>
          <t>Drop gear ratio</t>
        </is>
      </c>
      <c r="H10" s="4" t="n"/>
      <c r="I10" s="4">
        <f>INDEX(Lookups!$B$3:$B$6, MATCH($I$9, Lookups!$A$3:$A$6, 0))</f>
        <v/>
      </c>
      <c r="J10" s="4" t="n"/>
    </row>
    <row r="11">
      <c r="A11" s="3" t="inlineStr">
        <is>
          <t>Gear kit selection</t>
        </is>
      </c>
      <c r="B11" s="4" t="n"/>
      <c r="C11" s="4" t="inlineStr">
        <is>
          <t>Standard 4-synchro</t>
        </is>
      </c>
      <c r="D11" s="4" t="n"/>
      <c r="E11" s="4" t="n"/>
      <c r="G11" s="3" t="inlineStr">
        <is>
          <t>Gear kit selection</t>
        </is>
      </c>
      <c r="H11" s="4" t="n"/>
      <c r="I11" s="4" t="inlineStr">
        <is>
          <t>Standard 4-synchro</t>
        </is>
      </c>
      <c r="J11" s="4" t="n"/>
    </row>
    <row r="12">
      <c r="A12" s="3" t="inlineStr">
        <is>
          <t>Power comes in (RPM)</t>
        </is>
      </c>
      <c r="B12" s="4" t="n"/>
      <c r="C12" s="4" t="n">
        <v>2800</v>
      </c>
      <c r="D12" s="4" t="n"/>
      <c r="E12" s="4" t="n"/>
      <c r="G12" s="3" t="inlineStr">
        <is>
          <t>Power comes in (RPM)</t>
        </is>
      </c>
      <c r="H12" s="4" t="n"/>
      <c r="I12" s="4" t="n">
        <v>2800</v>
      </c>
      <c r="J12" s="4" t="n"/>
    </row>
    <row r="13">
      <c r="A13" s="3" t="inlineStr">
        <is>
          <t>Peak power (RPM)</t>
        </is>
      </c>
      <c r="B13" s="4" t="n"/>
      <c r="C13" s="4" t="n">
        <v>5400</v>
      </c>
      <c r="D13" s="4" t="n"/>
      <c r="E13" s="4" t="n"/>
      <c r="G13" s="3" t="inlineStr">
        <is>
          <t>Peak power (RPM)</t>
        </is>
      </c>
      <c r="H13" s="4" t="n"/>
      <c r="I13" s="4" t="n">
        <v>5400</v>
      </c>
      <c r="J13" s="4" t="n"/>
    </row>
    <row r="14">
      <c r="A14" s="3" t="inlineStr">
        <is>
          <t>Max RPM / limiter</t>
        </is>
      </c>
      <c r="B14" s="4" t="n"/>
      <c r="C14" s="4" t="n">
        <v>6500</v>
      </c>
      <c r="D14" s="4" t="n"/>
      <c r="E14" s="4" t="n"/>
      <c r="G14" s="3" t="inlineStr">
        <is>
          <t>Max RPM / limiter</t>
        </is>
      </c>
      <c r="H14" s="4" t="n"/>
      <c r="I14" s="4" t="n">
        <v>6500</v>
      </c>
      <c r="J14" s="4" t="n"/>
    </row>
    <row r="15">
      <c r="A15" s="3" t="inlineStr">
        <is>
          <t>Tyre circumference (m)</t>
        </is>
      </c>
      <c r="B15" s="4" t="n"/>
      <c r="C15" s="4">
        <f>PI()*((C7*25.4 + 2*(C5*C6))/1000)</f>
        <v/>
      </c>
      <c r="D15" s="4" t="n"/>
      <c r="E15" s="4" t="n"/>
      <c r="G15" s="3" t="inlineStr">
        <is>
          <t>Tyre circumference (m)</t>
        </is>
      </c>
      <c r="H15" s="4" t="n"/>
      <c r="I15" s="4">
        <f>PI()*((I7*25.4 + 2*(I5*I6))/1000)</f>
        <v/>
      </c>
      <c r="J15" s="4" t="n"/>
    </row>
    <row r="16">
      <c r="A16" s="3" t="inlineStr">
        <is>
          <t>Effective final drive</t>
        </is>
      </c>
      <c r="B16" s="4" t="n"/>
      <c r="C16" s="4">
        <f>C8*C10</f>
        <v/>
      </c>
      <c r="D16" s="4" t="n"/>
      <c r="E16" s="4" t="n"/>
      <c r="G16" s="3" t="inlineStr">
        <is>
          <t>Effective final drive</t>
        </is>
      </c>
      <c r="H16" s="4" t="n"/>
      <c r="I16" s="4">
        <f>I8*I10</f>
        <v/>
      </c>
      <c r="J16" s="4" t="n"/>
    </row>
    <row r="17">
      <c r="A17" s="4" t="n"/>
      <c r="B17" s="4" t="n"/>
      <c r="C17" s="4" t="n"/>
      <c r="D17" s="4" t="n"/>
      <c r="E17" s="4" t="n"/>
      <c r="G17" s="4" t="n"/>
      <c r="H17" s="4" t="n"/>
      <c r="I17" s="4" t="n"/>
      <c r="J17" s="4" t="n"/>
    </row>
    <row r="19">
      <c r="A19" s="2" t="inlineStr">
        <is>
          <t>Gear ratios</t>
        </is>
      </c>
      <c r="G19" s="2" t="inlineStr">
        <is>
          <t>Gear ratios</t>
        </is>
      </c>
    </row>
    <row r="20">
      <c r="A20" s="5" t="inlineStr">
        <is>
          <t>Gear</t>
        </is>
      </c>
      <c r="B20" s="5" t="inlineStr">
        <is>
          <t>Ratio</t>
        </is>
      </c>
      <c r="G20" s="5" t="inlineStr">
        <is>
          <t>Gear</t>
        </is>
      </c>
      <c r="H20" s="5" t="inlineStr">
        <is>
          <t>Ratio</t>
        </is>
      </c>
    </row>
    <row r="21">
      <c r="A21" s="6" t="inlineStr">
        <is>
          <t>1st</t>
        </is>
      </c>
      <c r="B21" s="6">
        <f>IFERROR(INDEX(Lookups!$L$3:$O$7, MATCH("1st", Lookups!$K$3:$K$7, 0), MATCH($C$11, Lookups!$L$2:$O$2, 0)), "")</f>
        <v/>
      </c>
      <c r="G21" s="6" t="inlineStr">
        <is>
          <t>1st</t>
        </is>
      </c>
      <c r="H21" s="6">
        <f>IFERROR(INDEX(Lookups!$L$3:$O$7, MATCH("1st", Lookups!$K$3:$K$7, 0), MATCH($I$11, Lookups!$L$2:$O$2, 0)), "")</f>
        <v/>
      </c>
    </row>
    <row r="22">
      <c r="A22" s="6" t="inlineStr">
        <is>
          <t>2nd</t>
        </is>
      </c>
      <c r="B22" s="6">
        <f>IFERROR(INDEX(Lookups!$L$3:$O$7, MATCH("2nd", Lookups!$K$3:$K$7, 0), MATCH($C$11, Lookups!$L$2:$O$2, 0)), "")</f>
        <v/>
      </c>
      <c r="G22" s="6" t="inlineStr">
        <is>
          <t>2nd</t>
        </is>
      </c>
      <c r="H22" s="6">
        <f>IFERROR(INDEX(Lookups!$L$3:$O$7, MATCH("2nd", Lookups!$K$3:$K$7, 0), MATCH($I$11, Lookups!$L$2:$O$2, 0)), "")</f>
        <v/>
      </c>
    </row>
    <row r="23">
      <c r="A23" s="6" t="inlineStr">
        <is>
          <t>3rd</t>
        </is>
      </c>
      <c r="B23" s="6">
        <f>IFERROR(INDEX(Lookups!$L$3:$O$7, MATCH("3rd", Lookups!$K$3:$K$7, 0), MATCH($C$11, Lookups!$L$2:$O$2, 0)), "")</f>
        <v/>
      </c>
      <c r="G23" s="6" t="inlineStr">
        <is>
          <t>3rd</t>
        </is>
      </c>
      <c r="H23" s="6">
        <f>IFERROR(INDEX(Lookups!$L$3:$O$7, MATCH("3rd", Lookups!$K$3:$K$7, 0), MATCH($I$11, Lookups!$L$2:$O$2, 0)), "")</f>
        <v/>
      </c>
    </row>
    <row r="24">
      <c r="A24" s="6" t="inlineStr">
        <is>
          <t>4th</t>
        </is>
      </c>
      <c r="B24" s="6">
        <f>IFERROR(INDEX(Lookups!$L$3:$O$7, MATCH("4th", Lookups!$K$3:$K$7, 0), MATCH($C$11, Lookups!$L$2:$O$2, 0)), "")</f>
        <v/>
      </c>
      <c r="G24" s="6" t="inlineStr">
        <is>
          <t>4th</t>
        </is>
      </c>
      <c r="H24" s="6">
        <f>IFERROR(INDEX(Lookups!$L$3:$O$7, MATCH("4th", Lookups!$K$3:$K$7, 0), MATCH($I$11, Lookups!$L$2:$O$2, 0)), "")</f>
        <v/>
      </c>
    </row>
    <row r="25">
      <c r="A25" s="6" t="inlineStr">
        <is>
          <t>5th</t>
        </is>
      </c>
      <c r="B25" s="6">
        <f>IFERROR(INDEX(Lookups!$L$3:$O$7, MATCH("5th", Lookups!$K$3:$K$7, 0), MATCH($C$11, Lookups!$L$2:$O$2, 0)), "")</f>
        <v/>
      </c>
      <c r="G25" s="6" t="inlineStr">
        <is>
          <t>5th</t>
        </is>
      </c>
      <c r="H25" s="6">
        <f>IFERROR(INDEX(Lookups!$L$3:$O$7, MATCH("5th", Lookups!$K$3:$K$7, 0), MATCH($I$11, Lookups!$L$2:$O$2, 0)), "")</f>
        <v/>
      </c>
    </row>
    <row r="26">
      <c r="A26" s="2" t="inlineStr">
        <is>
          <t>LEFT RPM by gear</t>
        </is>
      </c>
      <c r="F26" s="2" t="inlineStr">
        <is>
          <t>Speed (km/h)</t>
        </is>
      </c>
      <c r="G26" s="2" t="inlineStr">
        <is>
          <t>RIGHT RPM by gear</t>
        </is>
      </c>
    </row>
    <row r="27">
      <c r="A27" s="5" t="inlineStr">
        <is>
          <t>1st RPM</t>
        </is>
      </c>
      <c r="B27" s="5" t="inlineStr">
        <is>
          <t>2nd RPM</t>
        </is>
      </c>
      <c r="C27" s="5" t="inlineStr">
        <is>
          <t>3rd RPM</t>
        </is>
      </c>
      <c r="D27" s="5" t="inlineStr">
        <is>
          <t>4th RPM</t>
        </is>
      </c>
      <c r="E27" s="5" t="inlineStr">
        <is>
          <t>5th RPM</t>
        </is>
      </c>
      <c r="F27" s="5" t="inlineStr">
        <is>
          <t>km/h</t>
        </is>
      </c>
      <c r="G27" s="5" t="inlineStr">
        <is>
          <t>1st RPM</t>
        </is>
      </c>
      <c r="H27" s="5" t="inlineStr">
        <is>
          <t>2nd RPM</t>
        </is>
      </c>
      <c r="I27" s="5" t="inlineStr">
        <is>
          <t>3rd RPM</t>
        </is>
      </c>
      <c r="J27" s="5" t="inlineStr">
        <is>
          <t>4th RPM</t>
        </is>
      </c>
      <c r="K27" s="5" t="inlineStr">
        <is>
          <t>5th RPM</t>
        </is>
      </c>
    </row>
    <row r="28">
      <c r="A28" s="7">
        <f>IFERROR(IF($B$21="","",IF((F28*1000*$B$21*$C$16)/($C$15*60)&gt;$C$14,"",(F28*1000*$B$21*$C$16)/($C$15*60))),"")</f>
        <v/>
      </c>
      <c r="B28" s="7">
        <f>IFERROR(IF($B$22="","",IF((F28*1000*$B$22*$C$16)/($C$15*60)&gt;$C$14,"",(F28*1000*$B$22*$C$16)/($C$15*60))),"")</f>
        <v/>
      </c>
      <c r="C28" s="7">
        <f>IFERROR(IF($B$23="","",IF((F28*1000*$B$23*$C$16)/($C$15*60)&gt;$C$14,"",(F28*1000*$B$23*$C$16)/($C$15*60))),"")</f>
        <v/>
      </c>
      <c r="D28" s="7">
        <f>IFERROR(IF($B$24="","",IF((F28*1000*$B$24*$C$16)/($C$15*60)&gt;$C$14,"",(F28*1000*$B$24*$C$16)/($C$15*60))),"")</f>
        <v/>
      </c>
      <c r="E28" s="7">
        <f>IFERROR(IF($B$25="","",IF((F28*1000*$B$25*$C$16)/($C$15*60)&gt;$C$14,"",(F28*1000*$B$25*$C$16)/($C$15*60))),"")</f>
        <v/>
      </c>
      <c r="F28" s="7">
        <f>IF($N$6-(ROW()-28)*$N$5&gt;=0,$N$6-(ROW()-28)*$N$5,"")</f>
        <v/>
      </c>
      <c r="G28" s="7">
        <f>IFERROR(IF($H$21="","",IF((F28*1000*$H$21*$I$16)/($I$15*60)&gt;$I$14,"",(F28*1000*$H$21*$I$16)/($I$15*60))),"")</f>
        <v/>
      </c>
      <c r="H28" s="7">
        <f>IFERROR(IF($H$22="","",IF((F28*1000*$H$22*$I$16)/($I$15*60)&gt;$I$14,"",(F28*1000*$H$22*$I$16)/($I$15*60))),"")</f>
        <v/>
      </c>
      <c r="I28" s="7">
        <f>IFERROR(IF($H$23="","",IF((F28*1000*$H$23*$I$16)/($I$15*60)&gt;$I$14,"",(F28*1000*$H$23*$I$16)/($I$15*60))),"")</f>
        <v/>
      </c>
      <c r="J28" s="7">
        <f>IFERROR(IF($H$24="","",IF((F28*1000*$H$24*$I$16)/($I$15*60)&gt;$I$14,"",(F28*1000*$H$24*$I$16)/($I$15*60))),"")</f>
        <v/>
      </c>
      <c r="K28" s="7">
        <f>IFERROR(IF($H$25="","",IF((F28*1000*$H$25*$I$16)/($I$15*60)&gt;$I$14,"",(F28*1000*$H$25*$I$16)/($I$15*60))),"")</f>
        <v/>
      </c>
    </row>
    <row r="29">
      <c r="A29" s="7">
        <f>IFERROR(IF($B$21="","",IF((F29*1000*$B$21*$C$16)/($C$15*60)&gt;$C$14,"",(F29*1000*$B$21*$C$16)/($C$15*60))),"")</f>
        <v/>
      </c>
      <c r="B29" s="7">
        <f>IFERROR(IF($B$22="","",IF((F29*1000*$B$22*$C$16)/($C$15*60)&gt;$C$14,"",(F29*1000*$B$22*$C$16)/($C$15*60))),"")</f>
        <v/>
      </c>
      <c r="C29" s="7">
        <f>IFERROR(IF($B$23="","",IF((F29*1000*$B$23*$C$16)/($C$15*60)&gt;$C$14,"",(F29*1000*$B$23*$C$16)/($C$15*60))),"")</f>
        <v/>
      </c>
      <c r="D29" s="7">
        <f>IFERROR(IF($B$24="","",IF((F29*1000*$B$24*$C$16)/($C$15*60)&gt;$C$14,"",(F29*1000*$B$24*$C$16)/($C$15*60))),"")</f>
        <v/>
      </c>
      <c r="E29" s="7">
        <f>IFERROR(IF($B$25="","",IF((F29*1000*$B$25*$C$16)/($C$15*60)&gt;$C$14,"",(F29*1000*$B$25*$C$16)/($C$15*60))),"")</f>
        <v/>
      </c>
      <c r="F29" s="7">
        <f>IF($N$6-(ROW()-28)*$N$5&gt;=0,$N$6-(ROW()-28)*$N$5,"")</f>
        <v/>
      </c>
      <c r="G29" s="7">
        <f>IFERROR(IF($H$21="","",IF((F29*1000*$H$21*$I$16)/($I$15*60)&gt;$I$14,"",(F29*1000*$H$21*$I$16)/($I$15*60))),"")</f>
        <v/>
      </c>
      <c r="H29" s="7">
        <f>IFERROR(IF($H$22="","",IF((F29*1000*$H$22*$I$16)/($I$15*60)&gt;$I$14,"",(F29*1000*$H$22*$I$16)/($I$15*60))),"")</f>
        <v/>
      </c>
      <c r="I29" s="7">
        <f>IFERROR(IF($H$23="","",IF((F29*1000*$H$23*$I$16)/($I$15*60)&gt;$I$14,"",(F29*1000*$H$23*$I$16)/($I$15*60))),"")</f>
        <v/>
      </c>
      <c r="J29" s="7">
        <f>IFERROR(IF($H$24="","",IF((F29*1000*$H$24*$I$16)/($I$15*60)&gt;$I$14,"",(F29*1000*$H$24*$I$16)/($I$15*60))),"")</f>
        <v/>
      </c>
      <c r="K29" s="7">
        <f>IFERROR(IF($H$25="","",IF((F29*1000*$H$25*$I$16)/($I$15*60)&gt;$I$14,"",(F29*1000*$H$25*$I$16)/($I$15*60))),"")</f>
        <v/>
      </c>
    </row>
    <row r="30">
      <c r="A30" s="7">
        <f>IFERROR(IF($B$21="","",IF((F30*1000*$B$21*$C$16)/($C$15*60)&gt;$C$14,"",(F30*1000*$B$21*$C$16)/($C$15*60))),"")</f>
        <v/>
      </c>
      <c r="B30" s="7">
        <f>IFERROR(IF($B$22="","",IF((F30*1000*$B$22*$C$16)/($C$15*60)&gt;$C$14,"",(F30*1000*$B$22*$C$16)/($C$15*60))),"")</f>
        <v/>
      </c>
      <c r="C30" s="7">
        <f>IFERROR(IF($B$23="","",IF((F30*1000*$B$23*$C$16)/($C$15*60)&gt;$C$14,"",(F30*1000*$B$23*$C$16)/($C$15*60))),"")</f>
        <v/>
      </c>
      <c r="D30" s="7">
        <f>IFERROR(IF($B$24="","",IF((F30*1000*$B$24*$C$16)/($C$15*60)&gt;$C$14,"",(F30*1000*$B$24*$C$16)/($C$15*60))),"")</f>
        <v/>
      </c>
      <c r="E30" s="7">
        <f>IFERROR(IF($B$25="","",IF((F30*1000*$B$25*$C$16)/($C$15*60)&gt;$C$14,"",(F30*1000*$B$25*$C$16)/($C$15*60))),"")</f>
        <v/>
      </c>
      <c r="F30" s="7">
        <f>IF($N$6-(ROW()-28)*$N$5&gt;=0,$N$6-(ROW()-28)*$N$5,"")</f>
        <v/>
      </c>
      <c r="G30" s="7">
        <f>IFERROR(IF($H$21="","",IF((F30*1000*$H$21*$I$16)/($I$15*60)&gt;$I$14,"",(F30*1000*$H$21*$I$16)/($I$15*60))),"")</f>
        <v/>
      </c>
      <c r="H30" s="7">
        <f>IFERROR(IF($H$22="","",IF((F30*1000*$H$22*$I$16)/($I$15*60)&gt;$I$14,"",(F30*1000*$H$22*$I$16)/($I$15*60))),"")</f>
        <v/>
      </c>
      <c r="I30" s="7">
        <f>IFERROR(IF($H$23="","",IF((F30*1000*$H$23*$I$16)/($I$15*60)&gt;$I$14,"",(F30*1000*$H$23*$I$16)/($I$15*60))),"")</f>
        <v/>
      </c>
      <c r="J30" s="7">
        <f>IFERROR(IF($H$24="","",IF((F30*1000*$H$24*$I$16)/($I$15*60)&gt;$I$14,"",(F30*1000*$H$24*$I$16)/($I$15*60))),"")</f>
        <v/>
      </c>
      <c r="K30" s="7">
        <f>IFERROR(IF($H$25="","",IF((F30*1000*$H$25*$I$16)/($I$15*60)&gt;$I$14,"",(F30*1000*$H$25*$I$16)/($I$15*60))),"")</f>
        <v/>
      </c>
    </row>
    <row r="31">
      <c r="A31" s="7">
        <f>IFERROR(IF($B$21="","",IF((F31*1000*$B$21*$C$16)/($C$15*60)&gt;$C$14,"",(F31*1000*$B$21*$C$16)/($C$15*60))),"")</f>
        <v/>
      </c>
      <c r="B31" s="7">
        <f>IFERROR(IF($B$22="","",IF((F31*1000*$B$22*$C$16)/($C$15*60)&gt;$C$14,"",(F31*1000*$B$22*$C$16)/($C$15*60))),"")</f>
        <v/>
      </c>
      <c r="C31" s="7">
        <f>IFERROR(IF($B$23="","",IF((F31*1000*$B$23*$C$16)/($C$15*60)&gt;$C$14,"",(F31*1000*$B$23*$C$16)/($C$15*60))),"")</f>
        <v/>
      </c>
      <c r="D31" s="7">
        <f>IFERROR(IF($B$24="","",IF((F31*1000*$B$24*$C$16)/($C$15*60)&gt;$C$14,"",(F31*1000*$B$24*$C$16)/($C$15*60))),"")</f>
        <v/>
      </c>
      <c r="E31" s="7">
        <f>IFERROR(IF($B$25="","",IF((F31*1000*$B$25*$C$16)/($C$15*60)&gt;$C$14,"",(F31*1000*$B$25*$C$16)/($C$15*60))),"")</f>
        <v/>
      </c>
      <c r="F31" s="7">
        <f>IF($N$6-(ROW()-28)*$N$5&gt;=0,$N$6-(ROW()-28)*$N$5,"")</f>
        <v/>
      </c>
      <c r="G31" s="7">
        <f>IFERROR(IF($H$21="","",IF((F31*1000*$H$21*$I$16)/($I$15*60)&gt;$I$14,"",(F31*1000*$H$21*$I$16)/($I$15*60))),"")</f>
        <v/>
      </c>
      <c r="H31" s="7">
        <f>IFERROR(IF($H$22="","",IF((F31*1000*$H$22*$I$16)/($I$15*60)&gt;$I$14,"",(F31*1000*$H$22*$I$16)/($I$15*60))),"")</f>
        <v/>
      </c>
      <c r="I31" s="7">
        <f>IFERROR(IF($H$23="","",IF((F31*1000*$H$23*$I$16)/($I$15*60)&gt;$I$14,"",(F31*1000*$H$23*$I$16)/($I$15*60))),"")</f>
        <v/>
      </c>
      <c r="J31" s="7">
        <f>IFERROR(IF($H$24="","",IF((F31*1000*$H$24*$I$16)/($I$15*60)&gt;$I$14,"",(F31*1000*$H$24*$I$16)/($I$15*60))),"")</f>
        <v/>
      </c>
      <c r="K31" s="7">
        <f>IFERROR(IF($H$25="","",IF((F31*1000*$H$25*$I$16)/($I$15*60)&gt;$I$14,"",(F31*1000*$H$25*$I$16)/($I$15*60))),"")</f>
        <v/>
      </c>
    </row>
    <row r="32">
      <c r="A32" s="7">
        <f>IFERROR(IF($B$21="","",IF((F32*1000*$B$21*$C$16)/($C$15*60)&gt;$C$14,"",(F32*1000*$B$21*$C$16)/($C$15*60))),"")</f>
        <v/>
      </c>
      <c r="B32" s="7">
        <f>IFERROR(IF($B$22="","",IF((F32*1000*$B$22*$C$16)/($C$15*60)&gt;$C$14,"",(F32*1000*$B$22*$C$16)/($C$15*60))),"")</f>
        <v/>
      </c>
      <c r="C32" s="7">
        <f>IFERROR(IF($B$23="","",IF((F32*1000*$B$23*$C$16)/($C$15*60)&gt;$C$14,"",(F32*1000*$B$23*$C$16)/($C$15*60))),"")</f>
        <v/>
      </c>
      <c r="D32" s="7">
        <f>IFERROR(IF($B$24="","",IF((F32*1000*$B$24*$C$16)/($C$15*60)&gt;$C$14,"",(F32*1000*$B$24*$C$16)/($C$15*60))),"")</f>
        <v/>
      </c>
      <c r="E32" s="7">
        <f>IFERROR(IF($B$25="","",IF((F32*1000*$B$25*$C$16)/($C$15*60)&gt;$C$14,"",(F32*1000*$B$25*$C$16)/($C$15*60))),"")</f>
        <v/>
      </c>
      <c r="F32" s="7">
        <f>IF($N$6-(ROW()-28)*$N$5&gt;=0,$N$6-(ROW()-28)*$N$5,"")</f>
        <v/>
      </c>
      <c r="G32" s="7">
        <f>IFERROR(IF($H$21="","",IF((F32*1000*$H$21*$I$16)/($I$15*60)&gt;$I$14,"",(F32*1000*$H$21*$I$16)/($I$15*60))),"")</f>
        <v/>
      </c>
      <c r="H32" s="7">
        <f>IFERROR(IF($H$22="","",IF((F32*1000*$H$22*$I$16)/($I$15*60)&gt;$I$14,"",(F32*1000*$H$22*$I$16)/($I$15*60))),"")</f>
        <v/>
      </c>
      <c r="I32" s="7">
        <f>IFERROR(IF($H$23="","",IF((F32*1000*$H$23*$I$16)/($I$15*60)&gt;$I$14,"",(F32*1000*$H$23*$I$16)/($I$15*60))),"")</f>
        <v/>
      </c>
      <c r="J32" s="7">
        <f>IFERROR(IF($H$24="","",IF((F32*1000*$H$24*$I$16)/($I$15*60)&gt;$I$14,"",(F32*1000*$H$24*$I$16)/($I$15*60))),"")</f>
        <v/>
      </c>
      <c r="K32" s="7">
        <f>IFERROR(IF($H$25="","",IF((F32*1000*$H$25*$I$16)/($I$15*60)&gt;$I$14,"",(F32*1000*$H$25*$I$16)/($I$15*60))),"")</f>
        <v/>
      </c>
    </row>
    <row r="33">
      <c r="A33" s="7">
        <f>IFERROR(IF($B$21="","",IF((F33*1000*$B$21*$C$16)/($C$15*60)&gt;$C$14,"",(F33*1000*$B$21*$C$16)/($C$15*60))),"")</f>
        <v/>
      </c>
      <c r="B33" s="7">
        <f>IFERROR(IF($B$22="","",IF((F33*1000*$B$22*$C$16)/($C$15*60)&gt;$C$14,"",(F33*1000*$B$22*$C$16)/($C$15*60))),"")</f>
        <v/>
      </c>
      <c r="C33" s="7">
        <f>IFERROR(IF($B$23="","",IF((F33*1000*$B$23*$C$16)/($C$15*60)&gt;$C$14,"",(F33*1000*$B$23*$C$16)/($C$15*60))),"")</f>
        <v/>
      </c>
      <c r="D33" s="7">
        <f>IFERROR(IF($B$24="","",IF((F33*1000*$B$24*$C$16)/($C$15*60)&gt;$C$14,"",(F33*1000*$B$24*$C$16)/($C$15*60))),"")</f>
        <v/>
      </c>
      <c r="E33" s="7">
        <f>IFERROR(IF($B$25="","",IF((F33*1000*$B$25*$C$16)/($C$15*60)&gt;$C$14,"",(F33*1000*$B$25*$C$16)/($C$15*60))),"")</f>
        <v/>
      </c>
      <c r="F33" s="7">
        <f>IF($N$6-(ROW()-28)*$N$5&gt;=0,$N$6-(ROW()-28)*$N$5,"")</f>
        <v/>
      </c>
      <c r="G33" s="7">
        <f>IFERROR(IF($H$21="","",IF((F33*1000*$H$21*$I$16)/($I$15*60)&gt;$I$14,"",(F33*1000*$H$21*$I$16)/($I$15*60))),"")</f>
        <v/>
      </c>
      <c r="H33" s="7">
        <f>IFERROR(IF($H$22="","",IF((F33*1000*$H$22*$I$16)/($I$15*60)&gt;$I$14,"",(F33*1000*$H$22*$I$16)/($I$15*60))),"")</f>
        <v/>
      </c>
      <c r="I33" s="7">
        <f>IFERROR(IF($H$23="","",IF((F33*1000*$H$23*$I$16)/($I$15*60)&gt;$I$14,"",(F33*1000*$H$23*$I$16)/($I$15*60))),"")</f>
        <v/>
      </c>
      <c r="J33" s="7">
        <f>IFERROR(IF($H$24="","",IF((F33*1000*$H$24*$I$16)/($I$15*60)&gt;$I$14,"",(F33*1000*$H$24*$I$16)/($I$15*60))),"")</f>
        <v/>
      </c>
      <c r="K33" s="7">
        <f>IFERROR(IF($H$25="","",IF((F33*1000*$H$25*$I$16)/($I$15*60)&gt;$I$14,"",(F33*1000*$H$25*$I$16)/($I$15*60))),"")</f>
        <v/>
      </c>
    </row>
    <row r="34">
      <c r="A34" s="7">
        <f>IFERROR(IF($B$21="","",IF((F34*1000*$B$21*$C$16)/($C$15*60)&gt;$C$14,"",(F34*1000*$B$21*$C$16)/($C$15*60))),"")</f>
        <v/>
      </c>
      <c r="B34" s="7">
        <f>IFERROR(IF($B$22="","",IF((F34*1000*$B$22*$C$16)/($C$15*60)&gt;$C$14,"",(F34*1000*$B$22*$C$16)/($C$15*60))),"")</f>
        <v/>
      </c>
      <c r="C34" s="7">
        <f>IFERROR(IF($B$23="","",IF((F34*1000*$B$23*$C$16)/($C$15*60)&gt;$C$14,"",(F34*1000*$B$23*$C$16)/($C$15*60))),"")</f>
        <v/>
      </c>
      <c r="D34" s="7">
        <f>IFERROR(IF($B$24="","",IF((F34*1000*$B$24*$C$16)/($C$15*60)&gt;$C$14,"",(F34*1000*$B$24*$C$16)/($C$15*60))),"")</f>
        <v/>
      </c>
      <c r="E34" s="7">
        <f>IFERROR(IF($B$25="","",IF((F34*1000*$B$25*$C$16)/($C$15*60)&gt;$C$14,"",(F34*1000*$B$25*$C$16)/($C$15*60))),"")</f>
        <v/>
      </c>
      <c r="F34" s="7">
        <f>IF($N$6-(ROW()-28)*$N$5&gt;=0,$N$6-(ROW()-28)*$N$5,"")</f>
        <v/>
      </c>
      <c r="G34" s="7">
        <f>IFERROR(IF($H$21="","",IF((F34*1000*$H$21*$I$16)/($I$15*60)&gt;$I$14,"",(F34*1000*$H$21*$I$16)/($I$15*60))),"")</f>
        <v/>
      </c>
      <c r="H34" s="7">
        <f>IFERROR(IF($H$22="","",IF((F34*1000*$H$22*$I$16)/($I$15*60)&gt;$I$14,"",(F34*1000*$H$22*$I$16)/($I$15*60))),"")</f>
        <v/>
      </c>
      <c r="I34" s="7">
        <f>IFERROR(IF($H$23="","",IF((F34*1000*$H$23*$I$16)/($I$15*60)&gt;$I$14,"",(F34*1000*$H$23*$I$16)/($I$15*60))),"")</f>
        <v/>
      </c>
      <c r="J34" s="7">
        <f>IFERROR(IF($H$24="","",IF((F34*1000*$H$24*$I$16)/($I$15*60)&gt;$I$14,"",(F34*1000*$H$24*$I$16)/($I$15*60))),"")</f>
        <v/>
      </c>
      <c r="K34" s="7">
        <f>IFERROR(IF($H$25="","",IF((F34*1000*$H$25*$I$16)/($I$15*60)&gt;$I$14,"",(F34*1000*$H$25*$I$16)/($I$15*60))),"")</f>
        <v/>
      </c>
    </row>
    <row r="35">
      <c r="A35" s="7">
        <f>IFERROR(IF($B$21="","",IF((F35*1000*$B$21*$C$16)/($C$15*60)&gt;$C$14,"",(F35*1000*$B$21*$C$16)/($C$15*60))),"")</f>
        <v/>
      </c>
      <c r="B35" s="7">
        <f>IFERROR(IF($B$22="","",IF((F35*1000*$B$22*$C$16)/($C$15*60)&gt;$C$14,"",(F35*1000*$B$22*$C$16)/($C$15*60))),"")</f>
        <v/>
      </c>
      <c r="C35" s="7">
        <f>IFERROR(IF($B$23="","",IF((F35*1000*$B$23*$C$16)/($C$15*60)&gt;$C$14,"",(F35*1000*$B$23*$C$16)/($C$15*60))),"")</f>
        <v/>
      </c>
      <c r="D35" s="7">
        <f>IFERROR(IF($B$24="","",IF((F35*1000*$B$24*$C$16)/($C$15*60)&gt;$C$14,"",(F35*1000*$B$24*$C$16)/($C$15*60))),"")</f>
        <v/>
      </c>
      <c r="E35" s="7">
        <f>IFERROR(IF($B$25="","",IF((F35*1000*$B$25*$C$16)/($C$15*60)&gt;$C$14,"",(F35*1000*$B$25*$C$16)/($C$15*60))),"")</f>
        <v/>
      </c>
      <c r="F35" s="7">
        <f>IF($N$6-(ROW()-28)*$N$5&gt;=0,$N$6-(ROW()-28)*$N$5,"")</f>
        <v/>
      </c>
      <c r="G35" s="7">
        <f>IFERROR(IF($H$21="","",IF((F35*1000*$H$21*$I$16)/($I$15*60)&gt;$I$14,"",(F35*1000*$H$21*$I$16)/($I$15*60))),"")</f>
        <v/>
      </c>
      <c r="H35" s="7">
        <f>IFERROR(IF($H$22="","",IF((F35*1000*$H$22*$I$16)/($I$15*60)&gt;$I$14,"",(F35*1000*$H$22*$I$16)/($I$15*60))),"")</f>
        <v/>
      </c>
      <c r="I35" s="7">
        <f>IFERROR(IF($H$23="","",IF((F35*1000*$H$23*$I$16)/($I$15*60)&gt;$I$14,"",(F35*1000*$H$23*$I$16)/($I$15*60))),"")</f>
        <v/>
      </c>
      <c r="J35" s="7">
        <f>IFERROR(IF($H$24="","",IF((F35*1000*$H$24*$I$16)/($I$15*60)&gt;$I$14,"",(F35*1000*$H$24*$I$16)/($I$15*60))),"")</f>
        <v/>
      </c>
      <c r="K35" s="7">
        <f>IFERROR(IF($H$25="","",IF((F35*1000*$H$25*$I$16)/($I$15*60)&gt;$I$14,"",(F35*1000*$H$25*$I$16)/($I$15*60))),"")</f>
        <v/>
      </c>
    </row>
    <row r="36">
      <c r="A36" s="7">
        <f>IFERROR(IF($B$21="","",IF((F36*1000*$B$21*$C$16)/($C$15*60)&gt;$C$14,"",(F36*1000*$B$21*$C$16)/($C$15*60))),"")</f>
        <v/>
      </c>
      <c r="B36" s="7">
        <f>IFERROR(IF($B$22="","",IF((F36*1000*$B$22*$C$16)/($C$15*60)&gt;$C$14,"",(F36*1000*$B$22*$C$16)/($C$15*60))),"")</f>
        <v/>
      </c>
      <c r="C36" s="7">
        <f>IFERROR(IF($B$23="","",IF((F36*1000*$B$23*$C$16)/($C$15*60)&gt;$C$14,"",(F36*1000*$B$23*$C$16)/($C$15*60))),"")</f>
        <v/>
      </c>
      <c r="D36" s="7">
        <f>IFERROR(IF($B$24="","",IF((F36*1000*$B$24*$C$16)/($C$15*60)&gt;$C$14,"",(F36*1000*$B$24*$C$16)/($C$15*60))),"")</f>
        <v/>
      </c>
      <c r="E36" s="7">
        <f>IFERROR(IF($B$25="","",IF((F36*1000*$B$25*$C$16)/($C$15*60)&gt;$C$14,"",(F36*1000*$B$25*$C$16)/($C$15*60))),"")</f>
        <v/>
      </c>
      <c r="F36" s="7">
        <f>IF($N$6-(ROW()-28)*$N$5&gt;=0,$N$6-(ROW()-28)*$N$5,"")</f>
        <v/>
      </c>
      <c r="G36" s="7">
        <f>IFERROR(IF($H$21="","",IF((F36*1000*$H$21*$I$16)/($I$15*60)&gt;$I$14,"",(F36*1000*$H$21*$I$16)/($I$15*60))),"")</f>
        <v/>
      </c>
      <c r="H36" s="7">
        <f>IFERROR(IF($H$22="","",IF((F36*1000*$H$22*$I$16)/($I$15*60)&gt;$I$14,"",(F36*1000*$H$22*$I$16)/($I$15*60))),"")</f>
        <v/>
      </c>
      <c r="I36" s="7">
        <f>IFERROR(IF($H$23="","",IF((F36*1000*$H$23*$I$16)/($I$15*60)&gt;$I$14,"",(F36*1000*$H$23*$I$16)/($I$15*60))),"")</f>
        <v/>
      </c>
      <c r="J36" s="7">
        <f>IFERROR(IF($H$24="","",IF((F36*1000*$H$24*$I$16)/($I$15*60)&gt;$I$14,"",(F36*1000*$H$24*$I$16)/($I$15*60))),"")</f>
        <v/>
      </c>
      <c r="K36" s="7">
        <f>IFERROR(IF($H$25="","",IF((F36*1000*$H$25*$I$16)/($I$15*60)&gt;$I$14,"",(F36*1000*$H$25*$I$16)/($I$15*60))),"")</f>
        <v/>
      </c>
    </row>
    <row r="37">
      <c r="A37" s="7">
        <f>IFERROR(IF($B$21="","",IF((F37*1000*$B$21*$C$16)/($C$15*60)&gt;$C$14,"",(F37*1000*$B$21*$C$16)/($C$15*60))),"")</f>
        <v/>
      </c>
      <c r="B37" s="7">
        <f>IFERROR(IF($B$22="","",IF((F37*1000*$B$22*$C$16)/($C$15*60)&gt;$C$14,"",(F37*1000*$B$22*$C$16)/($C$15*60))),"")</f>
        <v/>
      </c>
      <c r="C37" s="7">
        <f>IFERROR(IF($B$23="","",IF((F37*1000*$B$23*$C$16)/($C$15*60)&gt;$C$14,"",(F37*1000*$B$23*$C$16)/($C$15*60))),"")</f>
        <v/>
      </c>
      <c r="D37" s="7">
        <f>IFERROR(IF($B$24="","",IF((F37*1000*$B$24*$C$16)/($C$15*60)&gt;$C$14,"",(F37*1000*$B$24*$C$16)/($C$15*60))),"")</f>
        <v/>
      </c>
      <c r="E37" s="7">
        <f>IFERROR(IF($B$25="","",IF((F37*1000*$B$25*$C$16)/($C$15*60)&gt;$C$14,"",(F37*1000*$B$25*$C$16)/($C$15*60))),"")</f>
        <v/>
      </c>
      <c r="F37" s="7">
        <f>IF($N$6-(ROW()-28)*$N$5&gt;=0,$N$6-(ROW()-28)*$N$5,"")</f>
        <v/>
      </c>
      <c r="G37" s="7">
        <f>IFERROR(IF($H$21="","",IF((F37*1000*$H$21*$I$16)/($I$15*60)&gt;$I$14,"",(F37*1000*$H$21*$I$16)/($I$15*60))),"")</f>
        <v/>
      </c>
      <c r="H37" s="7">
        <f>IFERROR(IF($H$22="","",IF((F37*1000*$H$22*$I$16)/($I$15*60)&gt;$I$14,"",(F37*1000*$H$22*$I$16)/($I$15*60))),"")</f>
        <v/>
      </c>
      <c r="I37" s="7">
        <f>IFERROR(IF($H$23="","",IF((F37*1000*$H$23*$I$16)/($I$15*60)&gt;$I$14,"",(F37*1000*$H$23*$I$16)/($I$15*60))),"")</f>
        <v/>
      </c>
      <c r="J37" s="7">
        <f>IFERROR(IF($H$24="","",IF((F37*1000*$H$24*$I$16)/($I$15*60)&gt;$I$14,"",(F37*1000*$H$24*$I$16)/($I$15*60))),"")</f>
        <v/>
      </c>
      <c r="K37" s="7">
        <f>IFERROR(IF($H$25="","",IF((F37*1000*$H$25*$I$16)/($I$15*60)&gt;$I$14,"",(F37*1000*$H$25*$I$16)/($I$15*60))),"")</f>
        <v/>
      </c>
    </row>
    <row r="38">
      <c r="A38" s="7">
        <f>IFERROR(IF($B$21="","",IF((F38*1000*$B$21*$C$16)/($C$15*60)&gt;$C$14,"",(F38*1000*$B$21*$C$16)/($C$15*60))),"")</f>
        <v/>
      </c>
      <c r="B38" s="7">
        <f>IFERROR(IF($B$22="","",IF((F38*1000*$B$22*$C$16)/($C$15*60)&gt;$C$14,"",(F38*1000*$B$22*$C$16)/($C$15*60))),"")</f>
        <v/>
      </c>
      <c r="C38" s="7">
        <f>IFERROR(IF($B$23="","",IF((F38*1000*$B$23*$C$16)/($C$15*60)&gt;$C$14,"",(F38*1000*$B$23*$C$16)/($C$15*60))),"")</f>
        <v/>
      </c>
      <c r="D38" s="7">
        <f>IFERROR(IF($B$24="","",IF((F38*1000*$B$24*$C$16)/($C$15*60)&gt;$C$14,"",(F38*1000*$B$24*$C$16)/($C$15*60))),"")</f>
        <v/>
      </c>
      <c r="E38" s="7">
        <f>IFERROR(IF($B$25="","",IF((F38*1000*$B$25*$C$16)/($C$15*60)&gt;$C$14,"",(F38*1000*$B$25*$C$16)/($C$15*60))),"")</f>
        <v/>
      </c>
      <c r="F38" s="7">
        <f>IF($N$6-(ROW()-28)*$N$5&gt;=0,$N$6-(ROW()-28)*$N$5,"")</f>
        <v/>
      </c>
      <c r="G38" s="7">
        <f>IFERROR(IF($H$21="","",IF((F38*1000*$H$21*$I$16)/($I$15*60)&gt;$I$14,"",(F38*1000*$H$21*$I$16)/($I$15*60))),"")</f>
        <v/>
      </c>
      <c r="H38" s="7">
        <f>IFERROR(IF($H$22="","",IF((F38*1000*$H$22*$I$16)/($I$15*60)&gt;$I$14,"",(F38*1000*$H$22*$I$16)/($I$15*60))),"")</f>
        <v/>
      </c>
      <c r="I38" s="7">
        <f>IFERROR(IF($H$23="","",IF((F38*1000*$H$23*$I$16)/($I$15*60)&gt;$I$14,"",(F38*1000*$H$23*$I$16)/($I$15*60))),"")</f>
        <v/>
      </c>
      <c r="J38" s="7">
        <f>IFERROR(IF($H$24="","",IF((F38*1000*$H$24*$I$16)/($I$15*60)&gt;$I$14,"",(F38*1000*$H$24*$I$16)/($I$15*60))),"")</f>
        <v/>
      </c>
      <c r="K38" s="7">
        <f>IFERROR(IF($H$25="","",IF((F38*1000*$H$25*$I$16)/($I$15*60)&gt;$I$14,"",(F38*1000*$H$25*$I$16)/($I$15*60))),"")</f>
        <v/>
      </c>
    </row>
    <row r="39">
      <c r="A39" s="7">
        <f>IFERROR(IF($B$21="","",IF((F39*1000*$B$21*$C$16)/($C$15*60)&gt;$C$14,"",(F39*1000*$B$21*$C$16)/($C$15*60))),"")</f>
        <v/>
      </c>
      <c r="B39" s="7">
        <f>IFERROR(IF($B$22="","",IF((F39*1000*$B$22*$C$16)/($C$15*60)&gt;$C$14,"",(F39*1000*$B$22*$C$16)/($C$15*60))),"")</f>
        <v/>
      </c>
      <c r="C39" s="7">
        <f>IFERROR(IF($B$23="","",IF((F39*1000*$B$23*$C$16)/($C$15*60)&gt;$C$14,"",(F39*1000*$B$23*$C$16)/($C$15*60))),"")</f>
        <v/>
      </c>
      <c r="D39" s="7">
        <f>IFERROR(IF($B$24="","",IF((F39*1000*$B$24*$C$16)/($C$15*60)&gt;$C$14,"",(F39*1000*$B$24*$C$16)/($C$15*60))),"")</f>
        <v/>
      </c>
      <c r="E39" s="7">
        <f>IFERROR(IF($B$25="","",IF((F39*1000*$B$25*$C$16)/($C$15*60)&gt;$C$14,"",(F39*1000*$B$25*$C$16)/($C$15*60))),"")</f>
        <v/>
      </c>
      <c r="F39" s="7">
        <f>IF($N$6-(ROW()-28)*$N$5&gt;=0,$N$6-(ROW()-28)*$N$5,"")</f>
        <v/>
      </c>
      <c r="G39" s="7">
        <f>IFERROR(IF($H$21="","",IF((F39*1000*$H$21*$I$16)/($I$15*60)&gt;$I$14,"",(F39*1000*$H$21*$I$16)/($I$15*60))),"")</f>
        <v/>
      </c>
      <c r="H39" s="7">
        <f>IFERROR(IF($H$22="","",IF((F39*1000*$H$22*$I$16)/($I$15*60)&gt;$I$14,"",(F39*1000*$H$22*$I$16)/($I$15*60))),"")</f>
        <v/>
      </c>
      <c r="I39" s="7">
        <f>IFERROR(IF($H$23="","",IF((F39*1000*$H$23*$I$16)/($I$15*60)&gt;$I$14,"",(F39*1000*$H$23*$I$16)/($I$15*60))),"")</f>
        <v/>
      </c>
      <c r="J39" s="7">
        <f>IFERROR(IF($H$24="","",IF((F39*1000*$H$24*$I$16)/($I$15*60)&gt;$I$14,"",(F39*1000*$H$24*$I$16)/($I$15*60))),"")</f>
        <v/>
      </c>
      <c r="K39" s="7">
        <f>IFERROR(IF($H$25="","",IF((F39*1000*$H$25*$I$16)/($I$15*60)&gt;$I$14,"",(F39*1000*$H$25*$I$16)/($I$15*60))),"")</f>
        <v/>
      </c>
    </row>
    <row r="40">
      <c r="A40" s="7">
        <f>IFERROR(IF($B$21="","",IF((F40*1000*$B$21*$C$16)/($C$15*60)&gt;$C$14,"",(F40*1000*$B$21*$C$16)/($C$15*60))),"")</f>
        <v/>
      </c>
      <c r="B40" s="7">
        <f>IFERROR(IF($B$22="","",IF((F40*1000*$B$22*$C$16)/($C$15*60)&gt;$C$14,"",(F40*1000*$B$22*$C$16)/($C$15*60))),"")</f>
        <v/>
      </c>
      <c r="C40" s="7">
        <f>IFERROR(IF($B$23="","",IF((F40*1000*$B$23*$C$16)/($C$15*60)&gt;$C$14,"",(F40*1000*$B$23*$C$16)/($C$15*60))),"")</f>
        <v/>
      </c>
      <c r="D40" s="7">
        <f>IFERROR(IF($B$24="","",IF((F40*1000*$B$24*$C$16)/($C$15*60)&gt;$C$14,"",(F40*1000*$B$24*$C$16)/($C$15*60))),"")</f>
        <v/>
      </c>
      <c r="E40" s="7">
        <f>IFERROR(IF($B$25="","",IF((F40*1000*$B$25*$C$16)/($C$15*60)&gt;$C$14,"",(F40*1000*$B$25*$C$16)/($C$15*60))),"")</f>
        <v/>
      </c>
      <c r="F40" s="7">
        <f>IF($N$6-(ROW()-28)*$N$5&gt;=0,$N$6-(ROW()-28)*$N$5,"")</f>
        <v/>
      </c>
      <c r="G40" s="7">
        <f>IFERROR(IF($H$21="","",IF((F40*1000*$H$21*$I$16)/($I$15*60)&gt;$I$14,"",(F40*1000*$H$21*$I$16)/($I$15*60))),"")</f>
        <v/>
      </c>
      <c r="H40" s="7">
        <f>IFERROR(IF($H$22="","",IF((F40*1000*$H$22*$I$16)/($I$15*60)&gt;$I$14,"",(F40*1000*$H$22*$I$16)/($I$15*60))),"")</f>
        <v/>
      </c>
      <c r="I40" s="7">
        <f>IFERROR(IF($H$23="","",IF((F40*1000*$H$23*$I$16)/($I$15*60)&gt;$I$14,"",(F40*1000*$H$23*$I$16)/($I$15*60))),"")</f>
        <v/>
      </c>
      <c r="J40" s="7">
        <f>IFERROR(IF($H$24="","",IF((F40*1000*$H$24*$I$16)/($I$15*60)&gt;$I$14,"",(F40*1000*$H$24*$I$16)/($I$15*60))),"")</f>
        <v/>
      </c>
      <c r="K40" s="7">
        <f>IFERROR(IF($H$25="","",IF((F40*1000*$H$25*$I$16)/($I$15*60)&gt;$I$14,"",(F40*1000*$H$25*$I$16)/($I$15*60))),"")</f>
        <v/>
      </c>
    </row>
    <row r="41">
      <c r="A41" s="7">
        <f>IFERROR(IF($B$21="","",IF((F41*1000*$B$21*$C$16)/($C$15*60)&gt;$C$14,"",(F41*1000*$B$21*$C$16)/($C$15*60))),"")</f>
        <v/>
      </c>
      <c r="B41" s="7">
        <f>IFERROR(IF($B$22="","",IF((F41*1000*$B$22*$C$16)/($C$15*60)&gt;$C$14,"",(F41*1000*$B$22*$C$16)/($C$15*60))),"")</f>
        <v/>
      </c>
      <c r="C41" s="7">
        <f>IFERROR(IF($B$23="","",IF((F41*1000*$B$23*$C$16)/($C$15*60)&gt;$C$14,"",(F41*1000*$B$23*$C$16)/($C$15*60))),"")</f>
        <v/>
      </c>
      <c r="D41" s="7">
        <f>IFERROR(IF($B$24="","",IF((F41*1000*$B$24*$C$16)/($C$15*60)&gt;$C$14,"",(F41*1000*$B$24*$C$16)/($C$15*60))),"")</f>
        <v/>
      </c>
      <c r="E41" s="7">
        <f>IFERROR(IF($B$25="","",IF((F41*1000*$B$25*$C$16)/($C$15*60)&gt;$C$14,"",(F41*1000*$B$25*$C$16)/($C$15*60))),"")</f>
        <v/>
      </c>
      <c r="F41" s="7">
        <f>IF($N$6-(ROW()-28)*$N$5&gt;=0,$N$6-(ROW()-28)*$N$5,"")</f>
        <v/>
      </c>
      <c r="G41" s="7">
        <f>IFERROR(IF($H$21="","",IF((F41*1000*$H$21*$I$16)/($I$15*60)&gt;$I$14,"",(F41*1000*$H$21*$I$16)/($I$15*60))),"")</f>
        <v/>
      </c>
      <c r="H41" s="7">
        <f>IFERROR(IF($H$22="","",IF((F41*1000*$H$22*$I$16)/($I$15*60)&gt;$I$14,"",(F41*1000*$H$22*$I$16)/($I$15*60))),"")</f>
        <v/>
      </c>
      <c r="I41" s="7">
        <f>IFERROR(IF($H$23="","",IF((F41*1000*$H$23*$I$16)/($I$15*60)&gt;$I$14,"",(F41*1000*$H$23*$I$16)/($I$15*60))),"")</f>
        <v/>
      </c>
      <c r="J41" s="7">
        <f>IFERROR(IF($H$24="","",IF((F41*1000*$H$24*$I$16)/($I$15*60)&gt;$I$14,"",(F41*1000*$H$24*$I$16)/($I$15*60))),"")</f>
        <v/>
      </c>
      <c r="K41" s="7">
        <f>IFERROR(IF($H$25="","",IF((F41*1000*$H$25*$I$16)/($I$15*60)&gt;$I$14,"",(F41*1000*$H$25*$I$16)/($I$15*60))),"")</f>
        <v/>
      </c>
    </row>
    <row r="42">
      <c r="A42" s="7">
        <f>IFERROR(IF($B$21="","",IF((F42*1000*$B$21*$C$16)/($C$15*60)&gt;$C$14,"",(F42*1000*$B$21*$C$16)/($C$15*60))),"")</f>
        <v/>
      </c>
      <c r="B42" s="7">
        <f>IFERROR(IF($B$22="","",IF((F42*1000*$B$22*$C$16)/($C$15*60)&gt;$C$14,"",(F42*1000*$B$22*$C$16)/($C$15*60))),"")</f>
        <v/>
      </c>
      <c r="C42" s="7">
        <f>IFERROR(IF($B$23="","",IF((F42*1000*$B$23*$C$16)/($C$15*60)&gt;$C$14,"",(F42*1000*$B$23*$C$16)/($C$15*60))),"")</f>
        <v/>
      </c>
      <c r="D42" s="7">
        <f>IFERROR(IF($B$24="","",IF((F42*1000*$B$24*$C$16)/($C$15*60)&gt;$C$14,"",(F42*1000*$B$24*$C$16)/($C$15*60))),"")</f>
        <v/>
      </c>
      <c r="E42" s="7">
        <f>IFERROR(IF($B$25="","",IF((F42*1000*$B$25*$C$16)/($C$15*60)&gt;$C$14,"",(F42*1000*$B$25*$C$16)/($C$15*60))),"")</f>
        <v/>
      </c>
      <c r="F42" s="7">
        <f>IF($N$6-(ROW()-28)*$N$5&gt;=0,$N$6-(ROW()-28)*$N$5,"")</f>
        <v/>
      </c>
      <c r="G42" s="7">
        <f>IFERROR(IF($H$21="","",IF((F42*1000*$H$21*$I$16)/($I$15*60)&gt;$I$14,"",(F42*1000*$H$21*$I$16)/($I$15*60))),"")</f>
        <v/>
      </c>
      <c r="H42" s="7">
        <f>IFERROR(IF($H$22="","",IF((F42*1000*$H$22*$I$16)/($I$15*60)&gt;$I$14,"",(F42*1000*$H$22*$I$16)/($I$15*60))),"")</f>
        <v/>
      </c>
      <c r="I42" s="7">
        <f>IFERROR(IF($H$23="","",IF((F42*1000*$H$23*$I$16)/($I$15*60)&gt;$I$14,"",(F42*1000*$H$23*$I$16)/($I$15*60))),"")</f>
        <v/>
      </c>
      <c r="J42" s="7">
        <f>IFERROR(IF($H$24="","",IF((F42*1000*$H$24*$I$16)/($I$15*60)&gt;$I$14,"",(F42*1000*$H$24*$I$16)/($I$15*60))),"")</f>
        <v/>
      </c>
      <c r="K42" s="7">
        <f>IFERROR(IF($H$25="","",IF((F42*1000*$H$25*$I$16)/($I$15*60)&gt;$I$14,"",(F42*1000*$H$25*$I$16)/($I$15*60))),"")</f>
        <v/>
      </c>
    </row>
    <row r="43">
      <c r="A43" s="7">
        <f>IFERROR(IF($B$21="","",IF((F43*1000*$B$21*$C$16)/($C$15*60)&gt;$C$14,"",(F43*1000*$B$21*$C$16)/($C$15*60))),"")</f>
        <v/>
      </c>
      <c r="B43" s="7">
        <f>IFERROR(IF($B$22="","",IF((F43*1000*$B$22*$C$16)/($C$15*60)&gt;$C$14,"",(F43*1000*$B$22*$C$16)/($C$15*60))),"")</f>
        <v/>
      </c>
      <c r="C43" s="7">
        <f>IFERROR(IF($B$23="","",IF((F43*1000*$B$23*$C$16)/($C$15*60)&gt;$C$14,"",(F43*1000*$B$23*$C$16)/($C$15*60))),"")</f>
        <v/>
      </c>
      <c r="D43" s="7">
        <f>IFERROR(IF($B$24="","",IF((F43*1000*$B$24*$C$16)/($C$15*60)&gt;$C$14,"",(F43*1000*$B$24*$C$16)/($C$15*60))),"")</f>
        <v/>
      </c>
      <c r="E43" s="7">
        <f>IFERROR(IF($B$25="","",IF((F43*1000*$B$25*$C$16)/($C$15*60)&gt;$C$14,"",(F43*1000*$B$25*$C$16)/($C$15*60))),"")</f>
        <v/>
      </c>
      <c r="F43" s="7">
        <f>IF($N$6-(ROW()-28)*$N$5&gt;=0,$N$6-(ROW()-28)*$N$5,"")</f>
        <v/>
      </c>
      <c r="G43" s="7">
        <f>IFERROR(IF($H$21="","",IF((F43*1000*$H$21*$I$16)/($I$15*60)&gt;$I$14,"",(F43*1000*$H$21*$I$16)/($I$15*60))),"")</f>
        <v/>
      </c>
      <c r="H43" s="7">
        <f>IFERROR(IF($H$22="","",IF((F43*1000*$H$22*$I$16)/($I$15*60)&gt;$I$14,"",(F43*1000*$H$22*$I$16)/($I$15*60))),"")</f>
        <v/>
      </c>
      <c r="I43" s="7">
        <f>IFERROR(IF($H$23="","",IF((F43*1000*$H$23*$I$16)/($I$15*60)&gt;$I$14,"",(F43*1000*$H$23*$I$16)/($I$15*60))),"")</f>
        <v/>
      </c>
      <c r="J43" s="7">
        <f>IFERROR(IF($H$24="","",IF((F43*1000*$H$24*$I$16)/($I$15*60)&gt;$I$14,"",(F43*1000*$H$24*$I$16)/($I$15*60))),"")</f>
        <v/>
      </c>
      <c r="K43" s="7">
        <f>IFERROR(IF($H$25="","",IF((F43*1000*$H$25*$I$16)/($I$15*60)&gt;$I$14,"",(F43*1000*$H$25*$I$16)/($I$15*60))),"")</f>
        <v/>
      </c>
    </row>
    <row r="44">
      <c r="A44" s="7">
        <f>IFERROR(IF($B$21="","",IF((F44*1000*$B$21*$C$16)/($C$15*60)&gt;$C$14,"",(F44*1000*$B$21*$C$16)/($C$15*60))),"")</f>
        <v/>
      </c>
      <c r="B44" s="7">
        <f>IFERROR(IF($B$22="","",IF((F44*1000*$B$22*$C$16)/($C$15*60)&gt;$C$14,"",(F44*1000*$B$22*$C$16)/($C$15*60))),"")</f>
        <v/>
      </c>
      <c r="C44" s="7">
        <f>IFERROR(IF($B$23="","",IF((F44*1000*$B$23*$C$16)/($C$15*60)&gt;$C$14,"",(F44*1000*$B$23*$C$16)/($C$15*60))),"")</f>
        <v/>
      </c>
      <c r="D44" s="7">
        <f>IFERROR(IF($B$24="","",IF((F44*1000*$B$24*$C$16)/($C$15*60)&gt;$C$14,"",(F44*1000*$B$24*$C$16)/($C$15*60))),"")</f>
        <v/>
      </c>
      <c r="E44" s="7">
        <f>IFERROR(IF($B$25="","",IF((F44*1000*$B$25*$C$16)/($C$15*60)&gt;$C$14,"",(F44*1000*$B$25*$C$16)/($C$15*60))),"")</f>
        <v/>
      </c>
      <c r="F44" s="7">
        <f>IF($N$6-(ROW()-28)*$N$5&gt;=0,$N$6-(ROW()-28)*$N$5,"")</f>
        <v/>
      </c>
      <c r="G44" s="7">
        <f>IFERROR(IF($H$21="","",IF((F44*1000*$H$21*$I$16)/($I$15*60)&gt;$I$14,"",(F44*1000*$H$21*$I$16)/($I$15*60))),"")</f>
        <v/>
      </c>
      <c r="H44" s="7">
        <f>IFERROR(IF($H$22="","",IF((F44*1000*$H$22*$I$16)/($I$15*60)&gt;$I$14,"",(F44*1000*$H$22*$I$16)/($I$15*60))),"")</f>
        <v/>
      </c>
      <c r="I44" s="7">
        <f>IFERROR(IF($H$23="","",IF((F44*1000*$H$23*$I$16)/($I$15*60)&gt;$I$14,"",(F44*1000*$H$23*$I$16)/($I$15*60))),"")</f>
        <v/>
      </c>
      <c r="J44" s="7">
        <f>IFERROR(IF($H$24="","",IF((F44*1000*$H$24*$I$16)/($I$15*60)&gt;$I$14,"",(F44*1000*$H$24*$I$16)/($I$15*60))),"")</f>
        <v/>
      </c>
      <c r="K44" s="7">
        <f>IFERROR(IF($H$25="","",IF((F44*1000*$H$25*$I$16)/($I$15*60)&gt;$I$14,"",(F44*1000*$H$25*$I$16)/($I$15*60))),"")</f>
        <v/>
      </c>
    </row>
    <row r="45">
      <c r="A45" s="7">
        <f>IFERROR(IF($B$21="","",IF((F45*1000*$B$21*$C$16)/($C$15*60)&gt;$C$14,"",(F45*1000*$B$21*$C$16)/($C$15*60))),"")</f>
        <v/>
      </c>
      <c r="B45" s="7">
        <f>IFERROR(IF($B$22="","",IF((F45*1000*$B$22*$C$16)/($C$15*60)&gt;$C$14,"",(F45*1000*$B$22*$C$16)/($C$15*60))),"")</f>
        <v/>
      </c>
      <c r="C45" s="7">
        <f>IFERROR(IF($B$23="","",IF((F45*1000*$B$23*$C$16)/($C$15*60)&gt;$C$14,"",(F45*1000*$B$23*$C$16)/($C$15*60))),"")</f>
        <v/>
      </c>
      <c r="D45" s="7">
        <f>IFERROR(IF($B$24="","",IF((F45*1000*$B$24*$C$16)/($C$15*60)&gt;$C$14,"",(F45*1000*$B$24*$C$16)/($C$15*60))),"")</f>
        <v/>
      </c>
      <c r="E45" s="7">
        <f>IFERROR(IF($B$25="","",IF((F45*1000*$B$25*$C$16)/($C$15*60)&gt;$C$14,"",(F45*1000*$B$25*$C$16)/($C$15*60))),"")</f>
        <v/>
      </c>
      <c r="F45" s="7">
        <f>IF($N$6-(ROW()-28)*$N$5&gt;=0,$N$6-(ROW()-28)*$N$5,"")</f>
        <v/>
      </c>
      <c r="G45" s="7">
        <f>IFERROR(IF($H$21="","",IF((F45*1000*$H$21*$I$16)/($I$15*60)&gt;$I$14,"",(F45*1000*$H$21*$I$16)/($I$15*60))),"")</f>
        <v/>
      </c>
      <c r="H45" s="7">
        <f>IFERROR(IF($H$22="","",IF((F45*1000*$H$22*$I$16)/($I$15*60)&gt;$I$14,"",(F45*1000*$H$22*$I$16)/($I$15*60))),"")</f>
        <v/>
      </c>
      <c r="I45" s="7">
        <f>IFERROR(IF($H$23="","",IF((F45*1000*$H$23*$I$16)/($I$15*60)&gt;$I$14,"",(F45*1000*$H$23*$I$16)/($I$15*60))),"")</f>
        <v/>
      </c>
      <c r="J45" s="7">
        <f>IFERROR(IF($H$24="","",IF((F45*1000*$H$24*$I$16)/($I$15*60)&gt;$I$14,"",(F45*1000*$H$24*$I$16)/($I$15*60))),"")</f>
        <v/>
      </c>
      <c r="K45" s="7">
        <f>IFERROR(IF($H$25="","",IF((F45*1000*$H$25*$I$16)/($I$15*60)&gt;$I$14,"",(F45*1000*$H$25*$I$16)/($I$15*60))),"")</f>
        <v/>
      </c>
    </row>
    <row r="46">
      <c r="A46" s="7">
        <f>IFERROR(IF($B$21="","",IF((F46*1000*$B$21*$C$16)/($C$15*60)&gt;$C$14,"",(F46*1000*$B$21*$C$16)/($C$15*60))),"")</f>
        <v/>
      </c>
      <c r="B46" s="7">
        <f>IFERROR(IF($B$22="","",IF((F46*1000*$B$22*$C$16)/($C$15*60)&gt;$C$14,"",(F46*1000*$B$22*$C$16)/($C$15*60))),"")</f>
        <v/>
      </c>
      <c r="C46" s="7">
        <f>IFERROR(IF($B$23="","",IF((F46*1000*$B$23*$C$16)/($C$15*60)&gt;$C$14,"",(F46*1000*$B$23*$C$16)/($C$15*60))),"")</f>
        <v/>
      </c>
      <c r="D46" s="7">
        <f>IFERROR(IF($B$24="","",IF((F46*1000*$B$24*$C$16)/($C$15*60)&gt;$C$14,"",(F46*1000*$B$24*$C$16)/($C$15*60))),"")</f>
        <v/>
      </c>
      <c r="E46" s="7">
        <f>IFERROR(IF($B$25="","",IF((F46*1000*$B$25*$C$16)/($C$15*60)&gt;$C$14,"",(F46*1000*$B$25*$C$16)/($C$15*60))),"")</f>
        <v/>
      </c>
      <c r="F46" s="7">
        <f>IF($N$6-(ROW()-28)*$N$5&gt;=0,$N$6-(ROW()-28)*$N$5,"")</f>
        <v/>
      </c>
      <c r="G46" s="7">
        <f>IFERROR(IF($H$21="","",IF((F46*1000*$H$21*$I$16)/($I$15*60)&gt;$I$14,"",(F46*1000*$H$21*$I$16)/($I$15*60))),"")</f>
        <v/>
      </c>
      <c r="H46" s="7">
        <f>IFERROR(IF($H$22="","",IF((F46*1000*$H$22*$I$16)/($I$15*60)&gt;$I$14,"",(F46*1000*$H$22*$I$16)/($I$15*60))),"")</f>
        <v/>
      </c>
      <c r="I46" s="7">
        <f>IFERROR(IF($H$23="","",IF((F46*1000*$H$23*$I$16)/($I$15*60)&gt;$I$14,"",(F46*1000*$H$23*$I$16)/($I$15*60))),"")</f>
        <v/>
      </c>
      <c r="J46" s="7">
        <f>IFERROR(IF($H$24="","",IF((F46*1000*$H$24*$I$16)/($I$15*60)&gt;$I$14,"",(F46*1000*$H$24*$I$16)/($I$15*60))),"")</f>
        <v/>
      </c>
      <c r="K46" s="7">
        <f>IFERROR(IF($H$25="","",IF((F46*1000*$H$25*$I$16)/($I$15*60)&gt;$I$14,"",(F46*1000*$H$25*$I$16)/($I$15*60))),"")</f>
        <v/>
      </c>
    </row>
    <row r="47">
      <c r="A47" s="7">
        <f>IFERROR(IF($B$21="","",IF((F47*1000*$B$21*$C$16)/($C$15*60)&gt;$C$14,"",(F47*1000*$B$21*$C$16)/($C$15*60))),"")</f>
        <v/>
      </c>
      <c r="B47" s="7">
        <f>IFERROR(IF($B$22="","",IF((F47*1000*$B$22*$C$16)/($C$15*60)&gt;$C$14,"",(F47*1000*$B$22*$C$16)/($C$15*60))),"")</f>
        <v/>
      </c>
      <c r="C47" s="7">
        <f>IFERROR(IF($B$23="","",IF((F47*1000*$B$23*$C$16)/($C$15*60)&gt;$C$14,"",(F47*1000*$B$23*$C$16)/($C$15*60))),"")</f>
        <v/>
      </c>
      <c r="D47" s="7">
        <f>IFERROR(IF($B$24="","",IF((F47*1000*$B$24*$C$16)/($C$15*60)&gt;$C$14,"",(F47*1000*$B$24*$C$16)/($C$15*60))),"")</f>
        <v/>
      </c>
      <c r="E47" s="7">
        <f>IFERROR(IF($B$25="","",IF((F47*1000*$B$25*$C$16)/($C$15*60)&gt;$C$14,"",(F47*1000*$B$25*$C$16)/($C$15*60))),"")</f>
        <v/>
      </c>
      <c r="F47" s="7">
        <f>IF($N$6-(ROW()-28)*$N$5&gt;=0,$N$6-(ROW()-28)*$N$5,"")</f>
        <v/>
      </c>
      <c r="G47" s="7">
        <f>IFERROR(IF($H$21="","",IF((F47*1000*$H$21*$I$16)/($I$15*60)&gt;$I$14,"",(F47*1000*$H$21*$I$16)/($I$15*60))),"")</f>
        <v/>
      </c>
      <c r="H47" s="7">
        <f>IFERROR(IF($H$22="","",IF((F47*1000*$H$22*$I$16)/($I$15*60)&gt;$I$14,"",(F47*1000*$H$22*$I$16)/($I$15*60))),"")</f>
        <v/>
      </c>
      <c r="I47" s="7">
        <f>IFERROR(IF($H$23="","",IF((F47*1000*$H$23*$I$16)/($I$15*60)&gt;$I$14,"",(F47*1000*$H$23*$I$16)/($I$15*60))),"")</f>
        <v/>
      </c>
      <c r="J47" s="7">
        <f>IFERROR(IF($H$24="","",IF((F47*1000*$H$24*$I$16)/($I$15*60)&gt;$I$14,"",(F47*1000*$H$24*$I$16)/($I$15*60))),"")</f>
        <v/>
      </c>
      <c r="K47" s="7">
        <f>IFERROR(IF($H$25="","",IF((F47*1000*$H$25*$I$16)/($I$15*60)&gt;$I$14,"",(F47*1000*$H$25*$I$16)/($I$15*60))),"")</f>
        <v/>
      </c>
    </row>
    <row r="48">
      <c r="A48" s="7">
        <f>IFERROR(IF($B$21="","",IF((F48*1000*$B$21*$C$16)/($C$15*60)&gt;$C$14,"",(F48*1000*$B$21*$C$16)/($C$15*60))),"")</f>
        <v/>
      </c>
      <c r="B48" s="7">
        <f>IFERROR(IF($B$22="","",IF((F48*1000*$B$22*$C$16)/($C$15*60)&gt;$C$14,"",(F48*1000*$B$22*$C$16)/($C$15*60))),"")</f>
        <v/>
      </c>
      <c r="C48" s="7">
        <f>IFERROR(IF($B$23="","",IF((F48*1000*$B$23*$C$16)/($C$15*60)&gt;$C$14,"",(F48*1000*$B$23*$C$16)/($C$15*60))),"")</f>
        <v/>
      </c>
      <c r="D48" s="7">
        <f>IFERROR(IF($B$24="","",IF((F48*1000*$B$24*$C$16)/($C$15*60)&gt;$C$14,"",(F48*1000*$B$24*$C$16)/($C$15*60))),"")</f>
        <v/>
      </c>
      <c r="E48" s="7">
        <f>IFERROR(IF($B$25="","",IF((F48*1000*$B$25*$C$16)/($C$15*60)&gt;$C$14,"",(F48*1000*$B$25*$C$16)/($C$15*60))),"")</f>
        <v/>
      </c>
      <c r="F48" s="7">
        <f>IF($N$6-(ROW()-28)*$N$5&gt;=0,$N$6-(ROW()-28)*$N$5,"")</f>
        <v/>
      </c>
      <c r="G48" s="7">
        <f>IFERROR(IF($H$21="","",IF((F48*1000*$H$21*$I$16)/($I$15*60)&gt;$I$14,"",(F48*1000*$H$21*$I$16)/($I$15*60))),"")</f>
        <v/>
      </c>
      <c r="H48" s="7">
        <f>IFERROR(IF($H$22="","",IF((F48*1000*$H$22*$I$16)/($I$15*60)&gt;$I$14,"",(F48*1000*$H$22*$I$16)/($I$15*60))),"")</f>
        <v/>
      </c>
      <c r="I48" s="7">
        <f>IFERROR(IF($H$23="","",IF((F48*1000*$H$23*$I$16)/($I$15*60)&gt;$I$14,"",(F48*1000*$H$23*$I$16)/($I$15*60))),"")</f>
        <v/>
      </c>
      <c r="J48" s="7">
        <f>IFERROR(IF($H$24="","",IF((F48*1000*$H$24*$I$16)/($I$15*60)&gt;$I$14,"",(F48*1000*$H$24*$I$16)/($I$15*60))),"")</f>
        <v/>
      </c>
      <c r="K48" s="7">
        <f>IFERROR(IF($H$25="","",IF((F48*1000*$H$25*$I$16)/($I$15*60)&gt;$I$14,"",(F48*1000*$H$25*$I$16)/($I$15*60))),"")</f>
        <v/>
      </c>
    </row>
    <row r="49">
      <c r="A49" s="7">
        <f>IFERROR(IF($B$21="","",IF((F49*1000*$B$21*$C$16)/($C$15*60)&gt;$C$14,"",(F49*1000*$B$21*$C$16)/($C$15*60))),"")</f>
        <v/>
      </c>
      <c r="B49" s="7">
        <f>IFERROR(IF($B$22="","",IF((F49*1000*$B$22*$C$16)/($C$15*60)&gt;$C$14,"",(F49*1000*$B$22*$C$16)/($C$15*60))),"")</f>
        <v/>
      </c>
      <c r="C49" s="7">
        <f>IFERROR(IF($B$23="","",IF((F49*1000*$B$23*$C$16)/($C$15*60)&gt;$C$14,"",(F49*1000*$B$23*$C$16)/($C$15*60))),"")</f>
        <v/>
      </c>
      <c r="D49" s="7">
        <f>IFERROR(IF($B$24="","",IF((F49*1000*$B$24*$C$16)/($C$15*60)&gt;$C$14,"",(F49*1000*$B$24*$C$16)/($C$15*60))),"")</f>
        <v/>
      </c>
      <c r="E49" s="7">
        <f>IFERROR(IF($B$25="","",IF((F49*1000*$B$25*$C$16)/($C$15*60)&gt;$C$14,"",(F49*1000*$B$25*$C$16)/($C$15*60))),"")</f>
        <v/>
      </c>
      <c r="F49" s="7">
        <f>IF($N$6-(ROW()-28)*$N$5&gt;=0,$N$6-(ROW()-28)*$N$5,"")</f>
        <v/>
      </c>
      <c r="G49" s="7">
        <f>IFERROR(IF($H$21="","",IF((F49*1000*$H$21*$I$16)/($I$15*60)&gt;$I$14,"",(F49*1000*$H$21*$I$16)/($I$15*60))),"")</f>
        <v/>
      </c>
      <c r="H49" s="7">
        <f>IFERROR(IF($H$22="","",IF((F49*1000*$H$22*$I$16)/($I$15*60)&gt;$I$14,"",(F49*1000*$H$22*$I$16)/($I$15*60))),"")</f>
        <v/>
      </c>
      <c r="I49" s="7">
        <f>IFERROR(IF($H$23="","",IF((F49*1000*$H$23*$I$16)/($I$15*60)&gt;$I$14,"",(F49*1000*$H$23*$I$16)/($I$15*60))),"")</f>
        <v/>
      </c>
      <c r="J49" s="7">
        <f>IFERROR(IF($H$24="","",IF((F49*1000*$H$24*$I$16)/($I$15*60)&gt;$I$14,"",(F49*1000*$H$24*$I$16)/($I$15*60))),"")</f>
        <v/>
      </c>
      <c r="K49" s="7">
        <f>IFERROR(IF($H$25="","",IF((F49*1000*$H$25*$I$16)/($I$15*60)&gt;$I$14,"",(F49*1000*$H$25*$I$16)/($I$15*60))),"")</f>
        <v/>
      </c>
    </row>
    <row r="50">
      <c r="A50" s="7">
        <f>IFERROR(IF($B$21="","",IF((F50*1000*$B$21*$C$16)/($C$15*60)&gt;$C$14,"",(F50*1000*$B$21*$C$16)/($C$15*60))),"")</f>
        <v/>
      </c>
      <c r="B50" s="7">
        <f>IFERROR(IF($B$22="","",IF((F50*1000*$B$22*$C$16)/($C$15*60)&gt;$C$14,"",(F50*1000*$B$22*$C$16)/($C$15*60))),"")</f>
        <v/>
      </c>
      <c r="C50" s="7">
        <f>IFERROR(IF($B$23="","",IF((F50*1000*$B$23*$C$16)/($C$15*60)&gt;$C$14,"",(F50*1000*$B$23*$C$16)/($C$15*60))),"")</f>
        <v/>
      </c>
      <c r="D50" s="7">
        <f>IFERROR(IF($B$24="","",IF((F50*1000*$B$24*$C$16)/($C$15*60)&gt;$C$14,"",(F50*1000*$B$24*$C$16)/($C$15*60))),"")</f>
        <v/>
      </c>
      <c r="E50" s="7">
        <f>IFERROR(IF($B$25="","",IF((F50*1000*$B$25*$C$16)/($C$15*60)&gt;$C$14,"",(F50*1000*$B$25*$C$16)/($C$15*60))),"")</f>
        <v/>
      </c>
      <c r="F50" s="7">
        <f>IF($N$6-(ROW()-28)*$N$5&gt;=0,$N$6-(ROW()-28)*$N$5,"")</f>
        <v/>
      </c>
      <c r="G50" s="7">
        <f>IFERROR(IF($H$21="","",IF((F50*1000*$H$21*$I$16)/($I$15*60)&gt;$I$14,"",(F50*1000*$H$21*$I$16)/($I$15*60))),"")</f>
        <v/>
      </c>
      <c r="H50" s="7">
        <f>IFERROR(IF($H$22="","",IF((F50*1000*$H$22*$I$16)/($I$15*60)&gt;$I$14,"",(F50*1000*$H$22*$I$16)/($I$15*60))),"")</f>
        <v/>
      </c>
      <c r="I50" s="7">
        <f>IFERROR(IF($H$23="","",IF((F50*1000*$H$23*$I$16)/($I$15*60)&gt;$I$14,"",(F50*1000*$H$23*$I$16)/($I$15*60))),"")</f>
        <v/>
      </c>
      <c r="J50" s="7">
        <f>IFERROR(IF($H$24="","",IF((F50*1000*$H$24*$I$16)/($I$15*60)&gt;$I$14,"",(F50*1000*$H$24*$I$16)/($I$15*60))),"")</f>
        <v/>
      </c>
      <c r="K50" s="7">
        <f>IFERROR(IF($H$25="","",IF((F50*1000*$H$25*$I$16)/($I$15*60)&gt;$I$14,"",(F50*1000*$H$25*$I$16)/($I$15*60))),"")</f>
        <v/>
      </c>
    </row>
    <row r="51">
      <c r="A51" s="7">
        <f>IFERROR(IF($B$21="","",IF((F51*1000*$B$21*$C$16)/($C$15*60)&gt;$C$14,"",(F51*1000*$B$21*$C$16)/($C$15*60))),"")</f>
        <v/>
      </c>
      <c r="B51" s="7">
        <f>IFERROR(IF($B$22="","",IF((F51*1000*$B$22*$C$16)/($C$15*60)&gt;$C$14,"",(F51*1000*$B$22*$C$16)/($C$15*60))),"")</f>
        <v/>
      </c>
      <c r="C51" s="7">
        <f>IFERROR(IF($B$23="","",IF((F51*1000*$B$23*$C$16)/($C$15*60)&gt;$C$14,"",(F51*1000*$B$23*$C$16)/($C$15*60))),"")</f>
        <v/>
      </c>
      <c r="D51" s="7">
        <f>IFERROR(IF($B$24="","",IF((F51*1000*$B$24*$C$16)/($C$15*60)&gt;$C$14,"",(F51*1000*$B$24*$C$16)/($C$15*60))),"")</f>
        <v/>
      </c>
      <c r="E51" s="7">
        <f>IFERROR(IF($B$25="","",IF((F51*1000*$B$25*$C$16)/($C$15*60)&gt;$C$14,"",(F51*1000*$B$25*$C$16)/($C$15*60))),"")</f>
        <v/>
      </c>
      <c r="F51" s="7">
        <f>IF($N$6-(ROW()-28)*$N$5&gt;=0,$N$6-(ROW()-28)*$N$5,"")</f>
        <v/>
      </c>
      <c r="G51" s="7">
        <f>IFERROR(IF($H$21="","",IF((F51*1000*$H$21*$I$16)/($I$15*60)&gt;$I$14,"",(F51*1000*$H$21*$I$16)/($I$15*60))),"")</f>
        <v/>
      </c>
      <c r="H51" s="7">
        <f>IFERROR(IF($H$22="","",IF((F51*1000*$H$22*$I$16)/($I$15*60)&gt;$I$14,"",(F51*1000*$H$22*$I$16)/($I$15*60))),"")</f>
        <v/>
      </c>
      <c r="I51" s="7">
        <f>IFERROR(IF($H$23="","",IF((F51*1000*$H$23*$I$16)/($I$15*60)&gt;$I$14,"",(F51*1000*$H$23*$I$16)/($I$15*60))),"")</f>
        <v/>
      </c>
      <c r="J51" s="7">
        <f>IFERROR(IF($H$24="","",IF((F51*1000*$H$24*$I$16)/($I$15*60)&gt;$I$14,"",(F51*1000*$H$24*$I$16)/($I$15*60))),"")</f>
        <v/>
      </c>
      <c r="K51" s="7">
        <f>IFERROR(IF($H$25="","",IF((F51*1000*$H$25*$I$16)/($I$15*60)&gt;$I$14,"",(F51*1000*$H$25*$I$16)/($I$15*60))),"")</f>
        <v/>
      </c>
    </row>
    <row r="52">
      <c r="A52" s="7">
        <f>IFERROR(IF($B$21="","",IF((F52*1000*$B$21*$C$16)/($C$15*60)&gt;$C$14,"",(F52*1000*$B$21*$C$16)/($C$15*60))),"")</f>
        <v/>
      </c>
      <c r="B52" s="7">
        <f>IFERROR(IF($B$22="","",IF((F52*1000*$B$22*$C$16)/($C$15*60)&gt;$C$14,"",(F52*1000*$B$22*$C$16)/($C$15*60))),"")</f>
        <v/>
      </c>
      <c r="C52" s="7">
        <f>IFERROR(IF($B$23="","",IF((F52*1000*$B$23*$C$16)/($C$15*60)&gt;$C$14,"",(F52*1000*$B$23*$C$16)/($C$15*60))),"")</f>
        <v/>
      </c>
      <c r="D52" s="7">
        <f>IFERROR(IF($B$24="","",IF((F52*1000*$B$24*$C$16)/($C$15*60)&gt;$C$14,"",(F52*1000*$B$24*$C$16)/($C$15*60))),"")</f>
        <v/>
      </c>
      <c r="E52" s="7">
        <f>IFERROR(IF($B$25="","",IF((F52*1000*$B$25*$C$16)/($C$15*60)&gt;$C$14,"",(F52*1000*$B$25*$C$16)/($C$15*60))),"")</f>
        <v/>
      </c>
      <c r="F52" s="7">
        <f>IF($N$6-(ROW()-28)*$N$5&gt;=0,$N$6-(ROW()-28)*$N$5,"")</f>
        <v/>
      </c>
      <c r="G52" s="7">
        <f>IFERROR(IF($H$21="","",IF((F52*1000*$H$21*$I$16)/($I$15*60)&gt;$I$14,"",(F52*1000*$H$21*$I$16)/($I$15*60))),"")</f>
        <v/>
      </c>
      <c r="H52" s="7">
        <f>IFERROR(IF($H$22="","",IF((F52*1000*$H$22*$I$16)/($I$15*60)&gt;$I$14,"",(F52*1000*$H$22*$I$16)/($I$15*60))),"")</f>
        <v/>
      </c>
      <c r="I52" s="7">
        <f>IFERROR(IF($H$23="","",IF((F52*1000*$H$23*$I$16)/($I$15*60)&gt;$I$14,"",(F52*1000*$H$23*$I$16)/($I$15*60))),"")</f>
        <v/>
      </c>
      <c r="J52" s="7">
        <f>IFERROR(IF($H$24="","",IF((F52*1000*$H$24*$I$16)/($I$15*60)&gt;$I$14,"",(F52*1000*$H$24*$I$16)/($I$15*60))),"")</f>
        <v/>
      </c>
      <c r="K52" s="7">
        <f>IFERROR(IF($H$25="","",IF((F52*1000*$H$25*$I$16)/($I$15*60)&gt;$I$14,"",(F52*1000*$H$25*$I$16)/($I$15*60))),"")</f>
        <v/>
      </c>
    </row>
    <row r="53">
      <c r="A53" s="7">
        <f>IFERROR(IF($B$21="","",IF((F53*1000*$B$21*$C$16)/($C$15*60)&gt;$C$14,"",(F53*1000*$B$21*$C$16)/($C$15*60))),"")</f>
        <v/>
      </c>
      <c r="B53" s="7">
        <f>IFERROR(IF($B$22="","",IF((F53*1000*$B$22*$C$16)/($C$15*60)&gt;$C$14,"",(F53*1000*$B$22*$C$16)/($C$15*60))),"")</f>
        <v/>
      </c>
      <c r="C53" s="7">
        <f>IFERROR(IF($B$23="","",IF((F53*1000*$B$23*$C$16)/($C$15*60)&gt;$C$14,"",(F53*1000*$B$23*$C$16)/($C$15*60))),"")</f>
        <v/>
      </c>
      <c r="D53" s="7">
        <f>IFERROR(IF($B$24="","",IF((F53*1000*$B$24*$C$16)/($C$15*60)&gt;$C$14,"",(F53*1000*$B$24*$C$16)/($C$15*60))),"")</f>
        <v/>
      </c>
      <c r="E53" s="7">
        <f>IFERROR(IF($B$25="","",IF((F53*1000*$B$25*$C$16)/($C$15*60)&gt;$C$14,"",(F53*1000*$B$25*$C$16)/($C$15*60))),"")</f>
        <v/>
      </c>
      <c r="F53" s="7">
        <f>IF($N$6-(ROW()-28)*$N$5&gt;=0,$N$6-(ROW()-28)*$N$5,"")</f>
        <v/>
      </c>
      <c r="G53" s="7">
        <f>IFERROR(IF($H$21="","",IF((F53*1000*$H$21*$I$16)/($I$15*60)&gt;$I$14,"",(F53*1000*$H$21*$I$16)/($I$15*60))),"")</f>
        <v/>
      </c>
      <c r="H53" s="7">
        <f>IFERROR(IF($H$22="","",IF((F53*1000*$H$22*$I$16)/($I$15*60)&gt;$I$14,"",(F53*1000*$H$22*$I$16)/($I$15*60))),"")</f>
        <v/>
      </c>
      <c r="I53" s="7">
        <f>IFERROR(IF($H$23="","",IF((F53*1000*$H$23*$I$16)/($I$15*60)&gt;$I$14,"",(F53*1000*$H$23*$I$16)/($I$15*60))),"")</f>
        <v/>
      </c>
      <c r="J53" s="7">
        <f>IFERROR(IF($H$24="","",IF((F53*1000*$H$24*$I$16)/($I$15*60)&gt;$I$14,"",(F53*1000*$H$24*$I$16)/($I$15*60))),"")</f>
        <v/>
      </c>
      <c r="K53" s="7">
        <f>IFERROR(IF($H$25="","",IF((F53*1000*$H$25*$I$16)/($I$15*60)&gt;$I$14,"",(F53*1000*$H$25*$I$16)/($I$15*60))),"")</f>
        <v/>
      </c>
    </row>
    <row r="54">
      <c r="A54" s="7">
        <f>IFERROR(IF($B$21="","",IF((F54*1000*$B$21*$C$16)/($C$15*60)&gt;$C$14,"",(F54*1000*$B$21*$C$16)/($C$15*60))),"")</f>
        <v/>
      </c>
      <c r="B54" s="7">
        <f>IFERROR(IF($B$22="","",IF((F54*1000*$B$22*$C$16)/($C$15*60)&gt;$C$14,"",(F54*1000*$B$22*$C$16)/($C$15*60))),"")</f>
        <v/>
      </c>
      <c r="C54" s="7">
        <f>IFERROR(IF($B$23="","",IF((F54*1000*$B$23*$C$16)/($C$15*60)&gt;$C$14,"",(F54*1000*$B$23*$C$16)/($C$15*60))),"")</f>
        <v/>
      </c>
      <c r="D54" s="7">
        <f>IFERROR(IF($B$24="","",IF((F54*1000*$B$24*$C$16)/($C$15*60)&gt;$C$14,"",(F54*1000*$B$24*$C$16)/($C$15*60))),"")</f>
        <v/>
      </c>
      <c r="E54" s="7">
        <f>IFERROR(IF($B$25="","",IF((F54*1000*$B$25*$C$16)/($C$15*60)&gt;$C$14,"",(F54*1000*$B$25*$C$16)/($C$15*60))),"")</f>
        <v/>
      </c>
      <c r="F54" s="7">
        <f>IF($N$6-(ROW()-28)*$N$5&gt;=0,$N$6-(ROW()-28)*$N$5,"")</f>
        <v/>
      </c>
      <c r="G54" s="7">
        <f>IFERROR(IF($H$21="","",IF((F54*1000*$H$21*$I$16)/($I$15*60)&gt;$I$14,"",(F54*1000*$H$21*$I$16)/($I$15*60))),"")</f>
        <v/>
      </c>
      <c r="H54" s="7">
        <f>IFERROR(IF($H$22="","",IF((F54*1000*$H$22*$I$16)/($I$15*60)&gt;$I$14,"",(F54*1000*$H$22*$I$16)/($I$15*60))),"")</f>
        <v/>
      </c>
      <c r="I54" s="7">
        <f>IFERROR(IF($H$23="","",IF((F54*1000*$H$23*$I$16)/($I$15*60)&gt;$I$14,"",(F54*1000*$H$23*$I$16)/($I$15*60))),"")</f>
        <v/>
      </c>
      <c r="J54" s="7">
        <f>IFERROR(IF($H$24="","",IF((F54*1000*$H$24*$I$16)/($I$15*60)&gt;$I$14,"",(F54*1000*$H$24*$I$16)/($I$15*60))),"")</f>
        <v/>
      </c>
      <c r="K54" s="7">
        <f>IFERROR(IF($H$25="","",IF((F54*1000*$H$25*$I$16)/($I$15*60)&gt;$I$14,"",(F54*1000*$H$25*$I$16)/($I$15*60))),"")</f>
        <v/>
      </c>
    </row>
    <row r="55">
      <c r="A55" s="7">
        <f>IFERROR(IF($B$21="","",IF((F55*1000*$B$21*$C$16)/($C$15*60)&gt;$C$14,"",(F55*1000*$B$21*$C$16)/($C$15*60))),"")</f>
        <v/>
      </c>
      <c r="B55" s="7">
        <f>IFERROR(IF($B$22="","",IF((F55*1000*$B$22*$C$16)/($C$15*60)&gt;$C$14,"",(F55*1000*$B$22*$C$16)/($C$15*60))),"")</f>
        <v/>
      </c>
      <c r="C55" s="7">
        <f>IFERROR(IF($B$23="","",IF((F55*1000*$B$23*$C$16)/($C$15*60)&gt;$C$14,"",(F55*1000*$B$23*$C$16)/($C$15*60))),"")</f>
        <v/>
      </c>
      <c r="D55" s="7">
        <f>IFERROR(IF($B$24="","",IF((F55*1000*$B$24*$C$16)/($C$15*60)&gt;$C$14,"",(F55*1000*$B$24*$C$16)/($C$15*60))),"")</f>
        <v/>
      </c>
      <c r="E55" s="7">
        <f>IFERROR(IF($B$25="","",IF((F55*1000*$B$25*$C$16)/($C$15*60)&gt;$C$14,"",(F55*1000*$B$25*$C$16)/($C$15*60))),"")</f>
        <v/>
      </c>
      <c r="F55" s="7">
        <f>IF($N$6-(ROW()-28)*$N$5&gt;=0,$N$6-(ROW()-28)*$N$5,"")</f>
        <v/>
      </c>
      <c r="G55" s="7">
        <f>IFERROR(IF($H$21="","",IF((F55*1000*$H$21*$I$16)/($I$15*60)&gt;$I$14,"",(F55*1000*$H$21*$I$16)/($I$15*60))),"")</f>
        <v/>
      </c>
      <c r="H55" s="7">
        <f>IFERROR(IF($H$22="","",IF((F55*1000*$H$22*$I$16)/($I$15*60)&gt;$I$14,"",(F55*1000*$H$22*$I$16)/($I$15*60))),"")</f>
        <v/>
      </c>
      <c r="I55" s="7">
        <f>IFERROR(IF($H$23="","",IF((F55*1000*$H$23*$I$16)/($I$15*60)&gt;$I$14,"",(F55*1000*$H$23*$I$16)/($I$15*60))),"")</f>
        <v/>
      </c>
      <c r="J55" s="7">
        <f>IFERROR(IF($H$24="","",IF((F55*1000*$H$24*$I$16)/($I$15*60)&gt;$I$14,"",(F55*1000*$H$24*$I$16)/($I$15*60))),"")</f>
        <v/>
      </c>
      <c r="K55" s="7">
        <f>IFERROR(IF($H$25="","",IF((F55*1000*$H$25*$I$16)/($I$15*60)&gt;$I$14,"",(F55*1000*$H$25*$I$16)/($I$15*60))),"")</f>
        <v/>
      </c>
    </row>
    <row r="56">
      <c r="A56" s="7">
        <f>IFERROR(IF($B$21="","",IF((F56*1000*$B$21*$C$16)/($C$15*60)&gt;$C$14,"",(F56*1000*$B$21*$C$16)/($C$15*60))),"")</f>
        <v/>
      </c>
      <c r="B56" s="7">
        <f>IFERROR(IF($B$22="","",IF((F56*1000*$B$22*$C$16)/($C$15*60)&gt;$C$14,"",(F56*1000*$B$22*$C$16)/($C$15*60))),"")</f>
        <v/>
      </c>
      <c r="C56" s="7">
        <f>IFERROR(IF($B$23="","",IF((F56*1000*$B$23*$C$16)/($C$15*60)&gt;$C$14,"",(F56*1000*$B$23*$C$16)/($C$15*60))),"")</f>
        <v/>
      </c>
      <c r="D56" s="7">
        <f>IFERROR(IF($B$24="","",IF((F56*1000*$B$24*$C$16)/($C$15*60)&gt;$C$14,"",(F56*1000*$B$24*$C$16)/($C$15*60))),"")</f>
        <v/>
      </c>
      <c r="E56" s="7">
        <f>IFERROR(IF($B$25="","",IF((F56*1000*$B$25*$C$16)/($C$15*60)&gt;$C$14,"",(F56*1000*$B$25*$C$16)/($C$15*60))),"")</f>
        <v/>
      </c>
      <c r="F56" s="7">
        <f>IF($N$6-(ROW()-28)*$N$5&gt;=0,$N$6-(ROW()-28)*$N$5,"")</f>
        <v/>
      </c>
      <c r="G56" s="7">
        <f>IFERROR(IF($H$21="","",IF((F56*1000*$H$21*$I$16)/($I$15*60)&gt;$I$14,"",(F56*1000*$H$21*$I$16)/($I$15*60))),"")</f>
        <v/>
      </c>
      <c r="H56" s="7">
        <f>IFERROR(IF($H$22="","",IF((F56*1000*$H$22*$I$16)/($I$15*60)&gt;$I$14,"",(F56*1000*$H$22*$I$16)/($I$15*60))),"")</f>
        <v/>
      </c>
      <c r="I56" s="7">
        <f>IFERROR(IF($H$23="","",IF((F56*1000*$H$23*$I$16)/($I$15*60)&gt;$I$14,"",(F56*1000*$H$23*$I$16)/($I$15*60))),"")</f>
        <v/>
      </c>
      <c r="J56" s="7">
        <f>IFERROR(IF($H$24="","",IF((F56*1000*$H$24*$I$16)/($I$15*60)&gt;$I$14,"",(F56*1000*$H$24*$I$16)/($I$15*60))),"")</f>
        <v/>
      </c>
      <c r="K56" s="7">
        <f>IFERROR(IF($H$25="","",IF((F56*1000*$H$25*$I$16)/($I$15*60)&gt;$I$14,"",(F56*1000*$H$25*$I$16)/($I$15*60))),"")</f>
        <v/>
      </c>
    </row>
    <row r="57">
      <c r="A57" s="7">
        <f>IFERROR(IF($B$21="","",IF((F57*1000*$B$21*$C$16)/($C$15*60)&gt;$C$14,"",(F57*1000*$B$21*$C$16)/($C$15*60))),"")</f>
        <v/>
      </c>
      <c r="B57" s="7">
        <f>IFERROR(IF($B$22="","",IF((F57*1000*$B$22*$C$16)/($C$15*60)&gt;$C$14,"",(F57*1000*$B$22*$C$16)/($C$15*60))),"")</f>
        <v/>
      </c>
      <c r="C57" s="7">
        <f>IFERROR(IF($B$23="","",IF((F57*1000*$B$23*$C$16)/($C$15*60)&gt;$C$14,"",(F57*1000*$B$23*$C$16)/($C$15*60))),"")</f>
        <v/>
      </c>
      <c r="D57" s="7">
        <f>IFERROR(IF($B$24="","",IF((F57*1000*$B$24*$C$16)/($C$15*60)&gt;$C$14,"",(F57*1000*$B$24*$C$16)/($C$15*60))),"")</f>
        <v/>
      </c>
      <c r="E57" s="7">
        <f>IFERROR(IF($B$25="","",IF((F57*1000*$B$25*$C$16)/($C$15*60)&gt;$C$14,"",(F57*1000*$B$25*$C$16)/($C$15*60))),"")</f>
        <v/>
      </c>
      <c r="F57" s="7">
        <f>IF($N$6-(ROW()-28)*$N$5&gt;=0,$N$6-(ROW()-28)*$N$5,"")</f>
        <v/>
      </c>
      <c r="G57" s="7">
        <f>IFERROR(IF($H$21="","",IF((F57*1000*$H$21*$I$16)/($I$15*60)&gt;$I$14,"",(F57*1000*$H$21*$I$16)/($I$15*60))),"")</f>
        <v/>
      </c>
      <c r="H57" s="7">
        <f>IFERROR(IF($H$22="","",IF((F57*1000*$H$22*$I$16)/($I$15*60)&gt;$I$14,"",(F57*1000*$H$22*$I$16)/($I$15*60))),"")</f>
        <v/>
      </c>
      <c r="I57" s="7">
        <f>IFERROR(IF($H$23="","",IF((F57*1000*$H$23*$I$16)/($I$15*60)&gt;$I$14,"",(F57*1000*$H$23*$I$16)/($I$15*60))),"")</f>
        <v/>
      </c>
      <c r="J57" s="7">
        <f>IFERROR(IF($H$24="","",IF((F57*1000*$H$24*$I$16)/($I$15*60)&gt;$I$14,"",(F57*1000*$H$24*$I$16)/($I$15*60))),"")</f>
        <v/>
      </c>
      <c r="K57" s="7">
        <f>IFERROR(IF($H$25="","",IF((F57*1000*$H$25*$I$16)/($I$15*60)&gt;$I$14,"",(F57*1000*$H$25*$I$16)/($I$15*60))),"")</f>
        <v/>
      </c>
    </row>
    <row r="58">
      <c r="A58" s="7">
        <f>IFERROR(IF($B$21="","",IF((F58*1000*$B$21*$C$16)/($C$15*60)&gt;$C$14,"",(F58*1000*$B$21*$C$16)/($C$15*60))),"")</f>
        <v/>
      </c>
      <c r="B58" s="7">
        <f>IFERROR(IF($B$22="","",IF((F58*1000*$B$22*$C$16)/($C$15*60)&gt;$C$14,"",(F58*1000*$B$22*$C$16)/($C$15*60))),"")</f>
        <v/>
      </c>
      <c r="C58" s="7">
        <f>IFERROR(IF($B$23="","",IF((F58*1000*$B$23*$C$16)/($C$15*60)&gt;$C$14,"",(F58*1000*$B$23*$C$16)/($C$15*60))),"")</f>
        <v/>
      </c>
      <c r="D58" s="7">
        <f>IFERROR(IF($B$24="","",IF((F58*1000*$B$24*$C$16)/($C$15*60)&gt;$C$14,"",(F58*1000*$B$24*$C$16)/($C$15*60))),"")</f>
        <v/>
      </c>
      <c r="E58" s="7">
        <f>IFERROR(IF($B$25="","",IF((F58*1000*$B$25*$C$16)/($C$15*60)&gt;$C$14,"",(F58*1000*$B$25*$C$16)/($C$15*60))),"")</f>
        <v/>
      </c>
      <c r="F58" s="7">
        <f>IF($N$6-(ROW()-28)*$N$5&gt;=0,$N$6-(ROW()-28)*$N$5,"")</f>
        <v/>
      </c>
      <c r="G58" s="7">
        <f>IFERROR(IF($H$21="","",IF((F58*1000*$H$21*$I$16)/($I$15*60)&gt;$I$14,"",(F58*1000*$H$21*$I$16)/($I$15*60))),"")</f>
        <v/>
      </c>
      <c r="H58" s="7">
        <f>IFERROR(IF($H$22="","",IF((F58*1000*$H$22*$I$16)/($I$15*60)&gt;$I$14,"",(F58*1000*$H$22*$I$16)/($I$15*60))),"")</f>
        <v/>
      </c>
      <c r="I58" s="7">
        <f>IFERROR(IF($H$23="","",IF((F58*1000*$H$23*$I$16)/($I$15*60)&gt;$I$14,"",(F58*1000*$H$23*$I$16)/($I$15*60))),"")</f>
        <v/>
      </c>
      <c r="J58" s="7">
        <f>IFERROR(IF($H$24="","",IF((F58*1000*$H$24*$I$16)/($I$15*60)&gt;$I$14,"",(F58*1000*$H$24*$I$16)/($I$15*60))),"")</f>
        <v/>
      </c>
      <c r="K58" s="7">
        <f>IFERROR(IF($H$25="","",IF((F58*1000*$H$25*$I$16)/($I$15*60)&gt;$I$14,"",(F58*1000*$H$25*$I$16)/($I$15*60))),"")</f>
        <v/>
      </c>
    </row>
    <row r="59">
      <c r="A59" s="7">
        <f>IFERROR(IF($B$21="","",IF((F59*1000*$B$21*$C$16)/($C$15*60)&gt;$C$14,"",(F59*1000*$B$21*$C$16)/($C$15*60))),"")</f>
        <v/>
      </c>
      <c r="B59" s="7">
        <f>IFERROR(IF($B$22="","",IF((F59*1000*$B$22*$C$16)/($C$15*60)&gt;$C$14,"",(F59*1000*$B$22*$C$16)/($C$15*60))),"")</f>
        <v/>
      </c>
      <c r="C59" s="7">
        <f>IFERROR(IF($B$23="","",IF((F59*1000*$B$23*$C$16)/($C$15*60)&gt;$C$14,"",(F59*1000*$B$23*$C$16)/($C$15*60))),"")</f>
        <v/>
      </c>
      <c r="D59" s="7">
        <f>IFERROR(IF($B$24="","",IF((F59*1000*$B$24*$C$16)/($C$15*60)&gt;$C$14,"",(F59*1000*$B$24*$C$16)/($C$15*60))),"")</f>
        <v/>
      </c>
      <c r="E59" s="7">
        <f>IFERROR(IF($B$25="","",IF((F59*1000*$B$25*$C$16)/($C$15*60)&gt;$C$14,"",(F59*1000*$B$25*$C$16)/($C$15*60))),"")</f>
        <v/>
      </c>
      <c r="F59" s="7">
        <f>IF($N$6-(ROW()-28)*$N$5&gt;=0,$N$6-(ROW()-28)*$N$5,"")</f>
        <v/>
      </c>
      <c r="G59" s="7">
        <f>IFERROR(IF($H$21="","",IF((F59*1000*$H$21*$I$16)/($I$15*60)&gt;$I$14,"",(F59*1000*$H$21*$I$16)/($I$15*60))),"")</f>
        <v/>
      </c>
      <c r="H59" s="7">
        <f>IFERROR(IF($H$22="","",IF((F59*1000*$H$22*$I$16)/($I$15*60)&gt;$I$14,"",(F59*1000*$H$22*$I$16)/($I$15*60))),"")</f>
        <v/>
      </c>
      <c r="I59" s="7">
        <f>IFERROR(IF($H$23="","",IF((F59*1000*$H$23*$I$16)/($I$15*60)&gt;$I$14,"",(F59*1000*$H$23*$I$16)/($I$15*60))),"")</f>
        <v/>
      </c>
      <c r="J59" s="7">
        <f>IFERROR(IF($H$24="","",IF((F59*1000*$H$24*$I$16)/($I$15*60)&gt;$I$14,"",(F59*1000*$H$24*$I$16)/($I$15*60))),"")</f>
        <v/>
      </c>
      <c r="K59" s="7">
        <f>IFERROR(IF($H$25="","",IF((F59*1000*$H$25*$I$16)/($I$15*60)&gt;$I$14,"",(F59*1000*$H$25*$I$16)/($I$15*60))),"")</f>
        <v/>
      </c>
    </row>
    <row r="60">
      <c r="A60" s="7">
        <f>IFERROR(IF($B$21="","",IF((F60*1000*$B$21*$C$16)/($C$15*60)&gt;$C$14,"",(F60*1000*$B$21*$C$16)/($C$15*60))),"")</f>
        <v/>
      </c>
      <c r="B60" s="7">
        <f>IFERROR(IF($B$22="","",IF((F60*1000*$B$22*$C$16)/($C$15*60)&gt;$C$14,"",(F60*1000*$B$22*$C$16)/($C$15*60))),"")</f>
        <v/>
      </c>
      <c r="C60" s="7">
        <f>IFERROR(IF($B$23="","",IF((F60*1000*$B$23*$C$16)/($C$15*60)&gt;$C$14,"",(F60*1000*$B$23*$C$16)/($C$15*60))),"")</f>
        <v/>
      </c>
      <c r="D60" s="7">
        <f>IFERROR(IF($B$24="","",IF((F60*1000*$B$24*$C$16)/($C$15*60)&gt;$C$14,"",(F60*1000*$B$24*$C$16)/($C$15*60))),"")</f>
        <v/>
      </c>
      <c r="E60" s="7">
        <f>IFERROR(IF($B$25="","",IF((F60*1000*$B$25*$C$16)/($C$15*60)&gt;$C$14,"",(F60*1000*$B$25*$C$16)/($C$15*60))),"")</f>
        <v/>
      </c>
      <c r="F60" s="7">
        <f>IF($N$6-(ROW()-28)*$N$5&gt;=0,$N$6-(ROW()-28)*$N$5,"")</f>
        <v/>
      </c>
      <c r="G60" s="7">
        <f>IFERROR(IF($H$21="","",IF((F60*1000*$H$21*$I$16)/($I$15*60)&gt;$I$14,"",(F60*1000*$H$21*$I$16)/($I$15*60))),"")</f>
        <v/>
      </c>
      <c r="H60" s="7">
        <f>IFERROR(IF($H$22="","",IF((F60*1000*$H$22*$I$16)/($I$15*60)&gt;$I$14,"",(F60*1000*$H$22*$I$16)/($I$15*60))),"")</f>
        <v/>
      </c>
      <c r="I60" s="7">
        <f>IFERROR(IF($H$23="","",IF((F60*1000*$H$23*$I$16)/($I$15*60)&gt;$I$14,"",(F60*1000*$H$23*$I$16)/($I$15*60))),"")</f>
        <v/>
      </c>
      <c r="J60" s="7">
        <f>IFERROR(IF($H$24="","",IF((F60*1000*$H$24*$I$16)/($I$15*60)&gt;$I$14,"",(F60*1000*$H$24*$I$16)/($I$15*60))),"")</f>
        <v/>
      </c>
      <c r="K60" s="7">
        <f>IFERROR(IF($H$25="","",IF((F60*1000*$H$25*$I$16)/($I$15*60)&gt;$I$14,"",(F60*1000*$H$25*$I$16)/($I$15*60))),"")</f>
        <v/>
      </c>
    </row>
    <row r="61">
      <c r="A61" s="7">
        <f>IFERROR(IF($B$21="","",IF((F61*1000*$B$21*$C$16)/($C$15*60)&gt;$C$14,"",(F61*1000*$B$21*$C$16)/($C$15*60))),"")</f>
        <v/>
      </c>
      <c r="B61" s="7">
        <f>IFERROR(IF($B$22="","",IF((F61*1000*$B$22*$C$16)/($C$15*60)&gt;$C$14,"",(F61*1000*$B$22*$C$16)/($C$15*60))),"")</f>
        <v/>
      </c>
      <c r="C61" s="7">
        <f>IFERROR(IF($B$23="","",IF((F61*1000*$B$23*$C$16)/($C$15*60)&gt;$C$14,"",(F61*1000*$B$23*$C$16)/($C$15*60))),"")</f>
        <v/>
      </c>
      <c r="D61" s="7">
        <f>IFERROR(IF($B$24="","",IF((F61*1000*$B$24*$C$16)/($C$15*60)&gt;$C$14,"",(F61*1000*$B$24*$C$16)/($C$15*60))),"")</f>
        <v/>
      </c>
      <c r="E61" s="7">
        <f>IFERROR(IF($B$25="","",IF((F61*1000*$B$25*$C$16)/($C$15*60)&gt;$C$14,"",(F61*1000*$B$25*$C$16)/($C$15*60))),"")</f>
        <v/>
      </c>
      <c r="F61" s="7">
        <f>IF($N$6-(ROW()-28)*$N$5&gt;=0,$N$6-(ROW()-28)*$N$5,"")</f>
        <v/>
      </c>
      <c r="G61" s="7">
        <f>IFERROR(IF($H$21="","",IF((F61*1000*$H$21*$I$16)/($I$15*60)&gt;$I$14,"",(F61*1000*$H$21*$I$16)/($I$15*60))),"")</f>
        <v/>
      </c>
      <c r="H61" s="7">
        <f>IFERROR(IF($H$22="","",IF((F61*1000*$H$22*$I$16)/($I$15*60)&gt;$I$14,"",(F61*1000*$H$22*$I$16)/($I$15*60))),"")</f>
        <v/>
      </c>
      <c r="I61" s="7">
        <f>IFERROR(IF($H$23="","",IF((F61*1000*$H$23*$I$16)/($I$15*60)&gt;$I$14,"",(F61*1000*$H$23*$I$16)/($I$15*60))),"")</f>
        <v/>
      </c>
      <c r="J61" s="7">
        <f>IFERROR(IF($H$24="","",IF((F61*1000*$H$24*$I$16)/($I$15*60)&gt;$I$14,"",(F61*1000*$H$24*$I$16)/($I$15*60))),"")</f>
        <v/>
      </c>
      <c r="K61" s="7">
        <f>IFERROR(IF($H$25="","",IF((F61*1000*$H$25*$I$16)/($I$15*60)&gt;$I$14,"",(F61*1000*$H$25*$I$16)/($I$15*60))),"")</f>
        <v/>
      </c>
    </row>
    <row r="62">
      <c r="A62" s="7">
        <f>IFERROR(IF($B$21="","",IF((F62*1000*$B$21*$C$16)/($C$15*60)&gt;$C$14,"",(F62*1000*$B$21*$C$16)/($C$15*60))),"")</f>
        <v/>
      </c>
      <c r="B62" s="7">
        <f>IFERROR(IF($B$22="","",IF((F62*1000*$B$22*$C$16)/($C$15*60)&gt;$C$14,"",(F62*1000*$B$22*$C$16)/($C$15*60))),"")</f>
        <v/>
      </c>
      <c r="C62" s="7">
        <f>IFERROR(IF($B$23="","",IF((F62*1000*$B$23*$C$16)/($C$15*60)&gt;$C$14,"",(F62*1000*$B$23*$C$16)/($C$15*60))),"")</f>
        <v/>
      </c>
      <c r="D62" s="7">
        <f>IFERROR(IF($B$24="","",IF((F62*1000*$B$24*$C$16)/($C$15*60)&gt;$C$14,"",(F62*1000*$B$24*$C$16)/($C$15*60))),"")</f>
        <v/>
      </c>
      <c r="E62" s="7">
        <f>IFERROR(IF($B$25="","",IF((F62*1000*$B$25*$C$16)/($C$15*60)&gt;$C$14,"",(F62*1000*$B$25*$C$16)/($C$15*60))),"")</f>
        <v/>
      </c>
      <c r="F62" s="7">
        <f>IF($N$6-(ROW()-28)*$N$5&gt;=0,$N$6-(ROW()-28)*$N$5,"")</f>
        <v/>
      </c>
      <c r="G62" s="7">
        <f>IFERROR(IF($H$21="","",IF((F62*1000*$H$21*$I$16)/($I$15*60)&gt;$I$14,"",(F62*1000*$H$21*$I$16)/($I$15*60))),"")</f>
        <v/>
      </c>
      <c r="H62" s="7">
        <f>IFERROR(IF($H$22="","",IF((F62*1000*$H$22*$I$16)/($I$15*60)&gt;$I$14,"",(F62*1000*$H$22*$I$16)/($I$15*60))),"")</f>
        <v/>
      </c>
      <c r="I62" s="7">
        <f>IFERROR(IF($H$23="","",IF((F62*1000*$H$23*$I$16)/($I$15*60)&gt;$I$14,"",(F62*1000*$H$23*$I$16)/($I$15*60))),"")</f>
        <v/>
      </c>
      <c r="J62" s="7">
        <f>IFERROR(IF($H$24="","",IF((F62*1000*$H$24*$I$16)/($I$15*60)&gt;$I$14,"",(F62*1000*$H$24*$I$16)/($I$15*60))),"")</f>
        <v/>
      </c>
      <c r="K62" s="7">
        <f>IFERROR(IF($H$25="","",IF((F62*1000*$H$25*$I$16)/($I$15*60)&gt;$I$14,"",(F62*1000*$H$25*$I$16)/($I$15*60))),"")</f>
        <v/>
      </c>
    </row>
    <row r="63">
      <c r="A63" s="7">
        <f>IFERROR(IF($B$21="","",IF((F63*1000*$B$21*$C$16)/($C$15*60)&gt;$C$14,"",(F63*1000*$B$21*$C$16)/($C$15*60))),"")</f>
        <v/>
      </c>
      <c r="B63" s="7">
        <f>IFERROR(IF($B$22="","",IF((F63*1000*$B$22*$C$16)/($C$15*60)&gt;$C$14,"",(F63*1000*$B$22*$C$16)/($C$15*60))),"")</f>
        <v/>
      </c>
      <c r="C63" s="7">
        <f>IFERROR(IF($B$23="","",IF((F63*1000*$B$23*$C$16)/($C$15*60)&gt;$C$14,"",(F63*1000*$B$23*$C$16)/($C$15*60))),"")</f>
        <v/>
      </c>
      <c r="D63" s="7">
        <f>IFERROR(IF($B$24="","",IF((F63*1000*$B$24*$C$16)/($C$15*60)&gt;$C$14,"",(F63*1000*$B$24*$C$16)/($C$15*60))),"")</f>
        <v/>
      </c>
      <c r="E63" s="7">
        <f>IFERROR(IF($B$25="","",IF((F63*1000*$B$25*$C$16)/($C$15*60)&gt;$C$14,"",(F63*1000*$B$25*$C$16)/($C$15*60))),"")</f>
        <v/>
      </c>
      <c r="F63" s="7">
        <f>IF($N$6-(ROW()-28)*$N$5&gt;=0,$N$6-(ROW()-28)*$N$5,"")</f>
        <v/>
      </c>
      <c r="G63" s="7">
        <f>IFERROR(IF($H$21="","",IF((F63*1000*$H$21*$I$16)/($I$15*60)&gt;$I$14,"",(F63*1000*$H$21*$I$16)/($I$15*60))),"")</f>
        <v/>
      </c>
      <c r="H63" s="7">
        <f>IFERROR(IF($H$22="","",IF((F63*1000*$H$22*$I$16)/($I$15*60)&gt;$I$14,"",(F63*1000*$H$22*$I$16)/($I$15*60))),"")</f>
        <v/>
      </c>
      <c r="I63" s="7">
        <f>IFERROR(IF($H$23="","",IF((F63*1000*$H$23*$I$16)/($I$15*60)&gt;$I$14,"",(F63*1000*$H$23*$I$16)/($I$15*60))),"")</f>
        <v/>
      </c>
      <c r="J63" s="7">
        <f>IFERROR(IF($H$24="","",IF((F63*1000*$H$24*$I$16)/($I$15*60)&gt;$I$14,"",(F63*1000*$H$24*$I$16)/($I$15*60))),"")</f>
        <v/>
      </c>
      <c r="K63" s="7">
        <f>IFERROR(IF($H$25="","",IF((F63*1000*$H$25*$I$16)/($I$15*60)&gt;$I$14,"",(F63*1000*$H$25*$I$16)/($I$15*60))),"")</f>
        <v/>
      </c>
    </row>
    <row r="64">
      <c r="A64" s="7">
        <f>IFERROR(IF($B$21="","",IF((F64*1000*$B$21*$C$16)/($C$15*60)&gt;$C$14,"",(F64*1000*$B$21*$C$16)/($C$15*60))),"")</f>
        <v/>
      </c>
      <c r="B64" s="7">
        <f>IFERROR(IF($B$22="","",IF((F64*1000*$B$22*$C$16)/($C$15*60)&gt;$C$14,"",(F64*1000*$B$22*$C$16)/($C$15*60))),"")</f>
        <v/>
      </c>
      <c r="C64" s="7">
        <f>IFERROR(IF($B$23="","",IF((F64*1000*$B$23*$C$16)/($C$15*60)&gt;$C$14,"",(F64*1000*$B$23*$C$16)/($C$15*60))),"")</f>
        <v/>
      </c>
      <c r="D64" s="7">
        <f>IFERROR(IF($B$24="","",IF((F64*1000*$B$24*$C$16)/($C$15*60)&gt;$C$14,"",(F64*1000*$B$24*$C$16)/($C$15*60))),"")</f>
        <v/>
      </c>
      <c r="E64" s="7">
        <f>IFERROR(IF($B$25="","",IF((F64*1000*$B$25*$C$16)/($C$15*60)&gt;$C$14,"",(F64*1000*$B$25*$C$16)/($C$15*60))),"")</f>
        <v/>
      </c>
      <c r="F64" s="7">
        <f>IF($N$6-(ROW()-28)*$N$5&gt;=0,$N$6-(ROW()-28)*$N$5,"")</f>
        <v/>
      </c>
      <c r="G64" s="7">
        <f>IFERROR(IF($H$21="","",IF((F64*1000*$H$21*$I$16)/($I$15*60)&gt;$I$14,"",(F64*1000*$H$21*$I$16)/($I$15*60))),"")</f>
        <v/>
      </c>
      <c r="H64" s="7">
        <f>IFERROR(IF($H$22="","",IF((F64*1000*$H$22*$I$16)/($I$15*60)&gt;$I$14,"",(F64*1000*$H$22*$I$16)/($I$15*60))),"")</f>
        <v/>
      </c>
      <c r="I64" s="7">
        <f>IFERROR(IF($H$23="","",IF((F64*1000*$H$23*$I$16)/($I$15*60)&gt;$I$14,"",(F64*1000*$H$23*$I$16)/($I$15*60))),"")</f>
        <v/>
      </c>
      <c r="J64" s="7">
        <f>IFERROR(IF($H$24="","",IF((F64*1000*$H$24*$I$16)/($I$15*60)&gt;$I$14,"",(F64*1000*$H$24*$I$16)/($I$15*60))),"")</f>
        <v/>
      </c>
      <c r="K64" s="7">
        <f>IFERROR(IF($H$25="","",IF((F64*1000*$H$25*$I$16)/($I$15*60)&gt;$I$14,"",(F64*1000*$H$25*$I$16)/($I$15*60))),"")</f>
        <v/>
      </c>
    </row>
    <row r="65">
      <c r="A65" s="7">
        <f>IFERROR(IF($B$21="","",IF((F65*1000*$B$21*$C$16)/($C$15*60)&gt;$C$14,"",(F65*1000*$B$21*$C$16)/($C$15*60))),"")</f>
        <v/>
      </c>
      <c r="B65" s="7">
        <f>IFERROR(IF($B$22="","",IF((F65*1000*$B$22*$C$16)/($C$15*60)&gt;$C$14,"",(F65*1000*$B$22*$C$16)/($C$15*60))),"")</f>
        <v/>
      </c>
      <c r="C65" s="7">
        <f>IFERROR(IF($B$23="","",IF((F65*1000*$B$23*$C$16)/($C$15*60)&gt;$C$14,"",(F65*1000*$B$23*$C$16)/($C$15*60))),"")</f>
        <v/>
      </c>
      <c r="D65" s="7">
        <f>IFERROR(IF($B$24="","",IF((F65*1000*$B$24*$C$16)/($C$15*60)&gt;$C$14,"",(F65*1000*$B$24*$C$16)/($C$15*60))),"")</f>
        <v/>
      </c>
      <c r="E65" s="7">
        <f>IFERROR(IF($B$25="","",IF((F65*1000*$B$25*$C$16)/($C$15*60)&gt;$C$14,"",(F65*1000*$B$25*$C$16)/($C$15*60))),"")</f>
        <v/>
      </c>
      <c r="F65" s="7">
        <f>IF($N$6-(ROW()-28)*$N$5&gt;=0,$N$6-(ROW()-28)*$N$5,"")</f>
        <v/>
      </c>
      <c r="G65" s="7">
        <f>IFERROR(IF($H$21="","",IF((F65*1000*$H$21*$I$16)/($I$15*60)&gt;$I$14,"",(F65*1000*$H$21*$I$16)/($I$15*60))),"")</f>
        <v/>
      </c>
      <c r="H65" s="7">
        <f>IFERROR(IF($H$22="","",IF((F65*1000*$H$22*$I$16)/($I$15*60)&gt;$I$14,"",(F65*1000*$H$22*$I$16)/($I$15*60))),"")</f>
        <v/>
      </c>
      <c r="I65" s="7">
        <f>IFERROR(IF($H$23="","",IF((F65*1000*$H$23*$I$16)/($I$15*60)&gt;$I$14,"",(F65*1000*$H$23*$I$16)/($I$15*60))),"")</f>
        <v/>
      </c>
      <c r="J65" s="7">
        <f>IFERROR(IF($H$24="","",IF((F65*1000*$H$24*$I$16)/($I$15*60)&gt;$I$14,"",(F65*1000*$H$24*$I$16)/($I$15*60))),"")</f>
        <v/>
      </c>
      <c r="K65" s="7">
        <f>IFERROR(IF($H$25="","",IF((F65*1000*$H$25*$I$16)/($I$15*60)&gt;$I$14,"",(F65*1000*$H$25*$I$16)/($I$15*60))),"")</f>
        <v/>
      </c>
    </row>
    <row r="66">
      <c r="A66" s="7">
        <f>IFERROR(IF($B$21="","",IF((F66*1000*$B$21*$C$16)/($C$15*60)&gt;$C$14,"",(F66*1000*$B$21*$C$16)/($C$15*60))),"")</f>
        <v/>
      </c>
      <c r="B66" s="7">
        <f>IFERROR(IF($B$22="","",IF((F66*1000*$B$22*$C$16)/($C$15*60)&gt;$C$14,"",(F66*1000*$B$22*$C$16)/($C$15*60))),"")</f>
        <v/>
      </c>
      <c r="C66" s="7">
        <f>IFERROR(IF($B$23="","",IF((F66*1000*$B$23*$C$16)/($C$15*60)&gt;$C$14,"",(F66*1000*$B$23*$C$16)/($C$15*60))),"")</f>
        <v/>
      </c>
      <c r="D66" s="7">
        <f>IFERROR(IF($B$24="","",IF((F66*1000*$B$24*$C$16)/($C$15*60)&gt;$C$14,"",(F66*1000*$B$24*$C$16)/($C$15*60))),"")</f>
        <v/>
      </c>
      <c r="E66" s="7">
        <f>IFERROR(IF($B$25="","",IF((F66*1000*$B$25*$C$16)/($C$15*60)&gt;$C$14,"",(F66*1000*$B$25*$C$16)/($C$15*60))),"")</f>
        <v/>
      </c>
      <c r="F66" s="7">
        <f>IF($N$6-(ROW()-28)*$N$5&gt;=0,$N$6-(ROW()-28)*$N$5,"")</f>
        <v/>
      </c>
      <c r="G66" s="7">
        <f>IFERROR(IF($H$21="","",IF((F66*1000*$H$21*$I$16)/($I$15*60)&gt;$I$14,"",(F66*1000*$H$21*$I$16)/($I$15*60))),"")</f>
        <v/>
      </c>
      <c r="H66" s="7">
        <f>IFERROR(IF($H$22="","",IF((F66*1000*$H$22*$I$16)/($I$15*60)&gt;$I$14,"",(F66*1000*$H$22*$I$16)/($I$15*60))),"")</f>
        <v/>
      </c>
      <c r="I66" s="7">
        <f>IFERROR(IF($H$23="","",IF((F66*1000*$H$23*$I$16)/($I$15*60)&gt;$I$14,"",(F66*1000*$H$23*$I$16)/($I$15*60))),"")</f>
        <v/>
      </c>
      <c r="J66" s="7">
        <f>IFERROR(IF($H$24="","",IF((F66*1000*$H$24*$I$16)/($I$15*60)&gt;$I$14,"",(F66*1000*$H$24*$I$16)/($I$15*60))),"")</f>
        <v/>
      </c>
      <c r="K66" s="7">
        <f>IFERROR(IF($H$25="","",IF((F66*1000*$H$25*$I$16)/($I$15*60)&gt;$I$14,"",(F66*1000*$H$25*$I$16)/($I$15*60))),"")</f>
        <v/>
      </c>
    </row>
    <row r="67">
      <c r="A67" s="7">
        <f>IFERROR(IF($B$21="","",IF((F67*1000*$B$21*$C$16)/($C$15*60)&gt;$C$14,"",(F67*1000*$B$21*$C$16)/($C$15*60))),"")</f>
        <v/>
      </c>
      <c r="B67" s="7">
        <f>IFERROR(IF($B$22="","",IF((F67*1000*$B$22*$C$16)/($C$15*60)&gt;$C$14,"",(F67*1000*$B$22*$C$16)/($C$15*60))),"")</f>
        <v/>
      </c>
      <c r="C67" s="7">
        <f>IFERROR(IF($B$23="","",IF((F67*1000*$B$23*$C$16)/($C$15*60)&gt;$C$14,"",(F67*1000*$B$23*$C$16)/($C$15*60))),"")</f>
        <v/>
      </c>
      <c r="D67" s="7">
        <f>IFERROR(IF($B$24="","",IF((F67*1000*$B$24*$C$16)/($C$15*60)&gt;$C$14,"",(F67*1000*$B$24*$C$16)/($C$15*60))),"")</f>
        <v/>
      </c>
      <c r="E67" s="7">
        <f>IFERROR(IF($B$25="","",IF((F67*1000*$B$25*$C$16)/($C$15*60)&gt;$C$14,"",(F67*1000*$B$25*$C$16)/($C$15*60))),"")</f>
        <v/>
      </c>
      <c r="F67" s="7">
        <f>IF($N$6-(ROW()-28)*$N$5&gt;=0,$N$6-(ROW()-28)*$N$5,"")</f>
        <v/>
      </c>
      <c r="G67" s="7">
        <f>IFERROR(IF($H$21="","",IF((F67*1000*$H$21*$I$16)/($I$15*60)&gt;$I$14,"",(F67*1000*$H$21*$I$16)/($I$15*60))),"")</f>
        <v/>
      </c>
      <c r="H67" s="7">
        <f>IFERROR(IF($H$22="","",IF((F67*1000*$H$22*$I$16)/($I$15*60)&gt;$I$14,"",(F67*1000*$H$22*$I$16)/($I$15*60))),"")</f>
        <v/>
      </c>
      <c r="I67" s="7">
        <f>IFERROR(IF($H$23="","",IF((F67*1000*$H$23*$I$16)/($I$15*60)&gt;$I$14,"",(F67*1000*$H$23*$I$16)/($I$15*60))),"")</f>
        <v/>
      </c>
      <c r="J67" s="7">
        <f>IFERROR(IF($H$24="","",IF((F67*1000*$H$24*$I$16)/($I$15*60)&gt;$I$14,"",(F67*1000*$H$24*$I$16)/($I$15*60))),"")</f>
        <v/>
      </c>
      <c r="K67" s="7">
        <f>IFERROR(IF($H$25="","",IF((F67*1000*$H$25*$I$16)/($I$15*60)&gt;$I$14,"",(F67*1000*$H$25*$I$16)/($I$15*60))),"")</f>
        <v/>
      </c>
    </row>
    <row r="68">
      <c r="A68" s="7">
        <f>IFERROR(IF($B$21="","",IF((F68*1000*$B$21*$C$16)/($C$15*60)&gt;$C$14,"",(F68*1000*$B$21*$C$16)/($C$15*60))),"")</f>
        <v/>
      </c>
      <c r="B68" s="7">
        <f>IFERROR(IF($B$22="","",IF((F68*1000*$B$22*$C$16)/($C$15*60)&gt;$C$14,"",(F68*1000*$B$22*$C$16)/($C$15*60))),"")</f>
        <v/>
      </c>
      <c r="C68" s="7">
        <f>IFERROR(IF($B$23="","",IF((F68*1000*$B$23*$C$16)/($C$15*60)&gt;$C$14,"",(F68*1000*$B$23*$C$16)/($C$15*60))),"")</f>
        <v/>
      </c>
      <c r="D68" s="7">
        <f>IFERROR(IF($B$24="","",IF((F68*1000*$B$24*$C$16)/($C$15*60)&gt;$C$14,"",(F68*1000*$B$24*$C$16)/($C$15*60))),"")</f>
        <v/>
      </c>
      <c r="E68" s="7">
        <f>IFERROR(IF($B$25="","",IF((F68*1000*$B$25*$C$16)/($C$15*60)&gt;$C$14,"",(F68*1000*$B$25*$C$16)/($C$15*60))),"")</f>
        <v/>
      </c>
      <c r="F68" s="7">
        <f>IF($N$6-(ROW()-28)*$N$5&gt;=0,$N$6-(ROW()-28)*$N$5,"")</f>
        <v/>
      </c>
      <c r="G68" s="7">
        <f>IFERROR(IF($H$21="","",IF((F68*1000*$H$21*$I$16)/($I$15*60)&gt;$I$14,"",(F68*1000*$H$21*$I$16)/($I$15*60))),"")</f>
        <v/>
      </c>
      <c r="H68" s="7">
        <f>IFERROR(IF($H$22="","",IF((F68*1000*$H$22*$I$16)/($I$15*60)&gt;$I$14,"",(F68*1000*$H$22*$I$16)/($I$15*60))),"")</f>
        <v/>
      </c>
      <c r="I68" s="7">
        <f>IFERROR(IF($H$23="","",IF((F68*1000*$H$23*$I$16)/($I$15*60)&gt;$I$14,"",(F68*1000*$H$23*$I$16)/($I$15*60))),"")</f>
        <v/>
      </c>
      <c r="J68" s="7">
        <f>IFERROR(IF($H$24="","",IF((F68*1000*$H$24*$I$16)/($I$15*60)&gt;$I$14,"",(F68*1000*$H$24*$I$16)/($I$15*60))),"")</f>
        <v/>
      </c>
      <c r="K68" s="7">
        <f>IFERROR(IF($H$25="","",IF((F68*1000*$H$25*$I$16)/($I$15*60)&gt;$I$14,"",(F68*1000*$H$25*$I$16)/($I$15*60))),"")</f>
        <v/>
      </c>
    </row>
    <row r="69">
      <c r="A69" s="7">
        <f>IFERROR(IF($B$21="","",IF((F69*1000*$B$21*$C$16)/($C$15*60)&gt;$C$14,"",(F69*1000*$B$21*$C$16)/($C$15*60))),"")</f>
        <v/>
      </c>
      <c r="B69" s="7">
        <f>IFERROR(IF($B$22="","",IF((F69*1000*$B$22*$C$16)/($C$15*60)&gt;$C$14,"",(F69*1000*$B$22*$C$16)/($C$15*60))),"")</f>
        <v/>
      </c>
      <c r="C69" s="7">
        <f>IFERROR(IF($B$23="","",IF((F69*1000*$B$23*$C$16)/($C$15*60)&gt;$C$14,"",(F69*1000*$B$23*$C$16)/($C$15*60))),"")</f>
        <v/>
      </c>
      <c r="D69" s="7">
        <f>IFERROR(IF($B$24="","",IF((F69*1000*$B$24*$C$16)/($C$15*60)&gt;$C$14,"",(F69*1000*$B$24*$C$16)/($C$15*60))),"")</f>
        <v/>
      </c>
      <c r="E69" s="7">
        <f>IFERROR(IF($B$25="","",IF((F69*1000*$B$25*$C$16)/($C$15*60)&gt;$C$14,"",(F69*1000*$B$25*$C$16)/($C$15*60))),"")</f>
        <v/>
      </c>
      <c r="F69" s="7">
        <f>IF($N$6-(ROW()-28)*$N$5&gt;=0,$N$6-(ROW()-28)*$N$5,"")</f>
        <v/>
      </c>
      <c r="G69" s="7">
        <f>IFERROR(IF($H$21="","",IF((F69*1000*$H$21*$I$16)/($I$15*60)&gt;$I$14,"",(F69*1000*$H$21*$I$16)/($I$15*60))),"")</f>
        <v/>
      </c>
      <c r="H69" s="7">
        <f>IFERROR(IF($H$22="","",IF((F69*1000*$H$22*$I$16)/($I$15*60)&gt;$I$14,"",(F69*1000*$H$22*$I$16)/($I$15*60))),"")</f>
        <v/>
      </c>
      <c r="I69" s="7">
        <f>IFERROR(IF($H$23="","",IF((F69*1000*$H$23*$I$16)/($I$15*60)&gt;$I$14,"",(F69*1000*$H$23*$I$16)/($I$15*60))),"")</f>
        <v/>
      </c>
      <c r="J69" s="7">
        <f>IFERROR(IF($H$24="","",IF((F69*1000*$H$24*$I$16)/($I$15*60)&gt;$I$14,"",(F69*1000*$H$24*$I$16)/($I$15*60))),"")</f>
        <v/>
      </c>
      <c r="K69" s="7">
        <f>IFERROR(IF($H$25="","",IF((F69*1000*$H$25*$I$16)/($I$15*60)&gt;$I$14,"",(F69*1000*$H$25*$I$16)/($I$15*60))),"")</f>
        <v/>
      </c>
    </row>
    <row r="70">
      <c r="A70" s="7">
        <f>IFERROR(IF($B$21="","",IF((F70*1000*$B$21*$C$16)/($C$15*60)&gt;$C$14,"",(F70*1000*$B$21*$C$16)/($C$15*60))),"")</f>
        <v/>
      </c>
      <c r="B70" s="7">
        <f>IFERROR(IF($B$22="","",IF((F70*1000*$B$22*$C$16)/($C$15*60)&gt;$C$14,"",(F70*1000*$B$22*$C$16)/($C$15*60))),"")</f>
        <v/>
      </c>
      <c r="C70" s="7">
        <f>IFERROR(IF($B$23="","",IF((F70*1000*$B$23*$C$16)/($C$15*60)&gt;$C$14,"",(F70*1000*$B$23*$C$16)/($C$15*60))),"")</f>
        <v/>
      </c>
      <c r="D70" s="7">
        <f>IFERROR(IF($B$24="","",IF((F70*1000*$B$24*$C$16)/($C$15*60)&gt;$C$14,"",(F70*1000*$B$24*$C$16)/($C$15*60))),"")</f>
        <v/>
      </c>
      <c r="E70" s="7">
        <f>IFERROR(IF($B$25="","",IF((F70*1000*$B$25*$C$16)/($C$15*60)&gt;$C$14,"",(F70*1000*$B$25*$C$16)/($C$15*60))),"")</f>
        <v/>
      </c>
      <c r="F70" s="7">
        <f>IF($N$6-(ROW()-28)*$N$5&gt;=0,$N$6-(ROW()-28)*$N$5,"")</f>
        <v/>
      </c>
      <c r="G70" s="7">
        <f>IFERROR(IF($H$21="","",IF((F70*1000*$H$21*$I$16)/($I$15*60)&gt;$I$14,"",(F70*1000*$H$21*$I$16)/($I$15*60))),"")</f>
        <v/>
      </c>
      <c r="H70" s="7">
        <f>IFERROR(IF($H$22="","",IF((F70*1000*$H$22*$I$16)/($I$15*60)&gt;$I$14,"",(F70*1000*$H$22*$I$16)/($I$15*60))),"")</f>
        <v/>
      </c>
      <c r="I70" s="7">
        <f>IFERROR(IF($H$23="","",IF((F70*1000*$H$23*$I$16)/($I$15*60)&gt;$I$14,"",(F70*1000*$H$23*$I$16)/($I$15*60))),"")</f>
        <v/>
      </c>
      <c r="J70" s="7">
        <f>IFERROR(IF($H$24="","",IF((F70*1000*$H$24*$I$16)/($I$15*60)&gt;$I$14,"",(F70*1000*$H$24*$I$16)/($I$15*60))),"")</f>
        <v/>
      </c>
      <c r="K70" s="7">
        <f>IFERROR(IF($H$25="","",IF((F70*1000*$H$25*$I$16)/($I$15*60)&gt;$I$14,"",(F70*1000*$H$25*$I$16)/($I$15*60))),"")</f>
        <v/>
      </c>
    </row>
    <row r="71">
      <c r="A71" s="7">
        <f>IFERROR(IF($B$21="","",IF((F71*1000*$B$21*$C$16)/($C$15*60)&gt;$C$14,"",(F71*1000*$B$21*$C$16)/($C$15*60))),"")</f>
        <v/>
      </c>
      <c r="B71" s="7">
        <f>IFERROR(IF($B$22="","",IF((F71*1000*$B$22*$C$16)/($C$15*60)&gt;$C$14,"",(F71*1000*$B$22*$C$16)/($C$15*60))),"")</f>
        <v/>
      </c>
      <c r="C71" s="7">
        <f>IFERROR(IF($B$23="","",IF((F71*1000*$B$23*$C$16)/($C$15*60)&gt;$C$14,"",(F71*1000*$B$23*$C$16)/($C$15*60))),"")</f>
        <v/>
      </c>
      <c r="D71" s="7">
        <f>IFERROR(IF($B$24="","",IF((F71*1000*$B$24*$C$16)/($C$15*60)&gt;$C$14,"",(F71*1000*$B$24*$C$16)/($C$15*60))),"")</f>
        <v/>
      </c>
      <c r="E71" s="7">
        <f>IFERROR(IF($B$25="","",IF((F71*1000*$B$25*$C$16)/($C$15*60)&gt;$C$14,"",(F71*1000*$B$25*$C$16)/($C$15*60))),"")</f>
        <v/>
      </c>
      <c r="F71" s="7">
        <f>IF($N$6-(ROW()-28)*$N$5&gt;=0,$N$6-(ROW()-28)*$N$5,"")</f>
        <v/>
      </c>
      <c r="G71" s="7">
        <f>IFERROR(IF($H$21="","",IF((F71*1000*$H$21*$I$16)/($I$15*60)&gt;$I$14,"",(F71*1000*$H$21*$I$16)/($I$15*60))),"")</f>
        <v/>
      </c>
      <c r="H71" s="7">
        <f>IFERROR(IF($H$22="","",IF((F71*1000*$H$22*$I$16)/($I$15*60)&gt;$I$14,"",(F71*1000*$H$22*$I$16)/($I$15*60))),"")</f>
        <v/>
      </c>
      <c r="I71" s="7">
        <f>IFERROR(IF($H$23="","",IF((F71*1000*$H$23*$I$16)/($I$15*60)&gt;$I$14,"",(F71*1000*$H$23*$I$16)/($I$15*60))),"")</f>
        <v/>
      </c>
      <c r="J71" s="7">
        <f>IFERROR(IF($H$24="","",IF((F71*1000*$H$24*$I$16)/($I$15*60)&gt;$I$14,"",(F71*1000*$H$24*$I$16)/($I$15*60))),"")</f>
        <v/>
      </c>
      <c r="K71" s="7">
        <f>IFERROR(IF($H$25="","",IF((F71*1000*$H$25*$I$16)/($I$15*60)&gt;$I$14,"",(F71*1000*$H$25*$I$16)/($I$15*60))),"")</f>
        <v/>
      </c>
    </row>
    <row r="72">
      <c r="A72" s="7">
        <f>IFERROR(IF($B$21="","",IF((F72*1000*$B$21*$C$16)/($C$15*60)&gt;$C$14,"",(F72*1000*$B$21*$C$16)/($C$15*60))),"")</f>
        <v/>
      </c>
      <c r="B72" s="7">
        <f>IFERROR(IF($B$22="","",IF((F72*1000*$B$22*$C$16)/($C$15*60)&gt;$C$14,"",(F72*1000*$B$22*$C$16)/($C$15*60))),"")</f>
        <v/>
      </c>
      <c r="C72" s="7">
        <f>IFERROR(IF($B$23="","",IF((F72*1000*$B$23*$C$16)/($C$15*60)&gt;$C$14,"",(F72*1000*$B$23*$C$16)/($C$15*60))),"")</f>
        <v/>
      </c>
      <c r="D72" s="7">
        <f>IFERROR(IF($B$24="","",IF((F72*1000*$B$24*$C$16)/($C$15*60)&gt;$C$14,"",(F72*1000*$B$24*$C$16)/($C$15*60))),"")</f>
        <v/>
      </c>
      <c r="E72" s="7">
        <f>IFERROR(IF($B$25="","",IF((F72*1000*$B$25*$C$16)/($C$15*60)&gt;$C$14,"",(F72*1000*$B$25*$C$16)/($C$15*60))),"")</f>
        <v/>
      </c>
      <c r="F72" s="7">
        <f>IF($N$6-(ROW()-28)*$N$5&gt;=0,$N$6-(ROW()-28)*$N$5,"")</f>
        <v/>
      </c>
      <c r="G72" s="7">
        <f>IFERROR(IF($H$21="","",IF((F72*1000*$H$21*$I$16)/($I$15*60)&gt;$I$14,"",(F72*1000*$H$21*$I$16)/($I$15*60))),"")</f>
        <v/>
      </c>
      <c r="H72" s="7">
        <f>IFERROR(IF($H$22="","",IF((F72*1000*$H$22*$I$16)/($I$15*60)&gt;$I$14,"",(F72*1000*$H$22*$I$16)/($I$15*60))),"")</f>
        <v/>
      </c>
      <c r="I72" s="7">
        <f>IFERROR(IF($H$23="","",IF((F72*1000*$H$23*$I$16)/($I$15*60)&gt;$I$14,"",(F72*1000*$H$23*$I$16)/($I$15*60))),"")</f>
        <v/>
      </c>
      <c r="J72" s="7">
        <f>IFERROR(IF($H$24="","",IF((F72*1000*$H$24*$I$16)/($I$15*60)&gt;$I$14,"",(F72*1000*$H$24*$I$16)/($I$15*60))),"")</f>
        <v/>
      </c>
      <c r="K72" s="7">
        <f>IFERROR(IF($H$25="","",IF((F72*1000*$H$25*$I$16)/($I$15*60)&gt;$I$14,"",(F72*1000*$H$25*$I$16)/($I$15*60))),"")</f>
        <v/>
      </c>
    </row>
    <row r="73">
      <c r="A73" s="7">
        <f>IFERROR(IF($B$21="","",IF((F73*1000*$B$21*$C$16)/($C$15*60)&gt;$C$14,"",(F73*1000*$B$21*$C$16)/($C$15*60))),"")</f>
        <v/>
      </c>
      <c r="B73" s="7">
        <f>IFERROR(IF($B$22="","",IF((F73*1000*$B$22*$C$16)/($C$15*60)&gt;$C$14,"",(F73*1000*$B$22*$C$16)/($C$15*60))),"")</f>
        <v/>
      </c>
      <c r="C73" s="7">
        <f>IFERROR(IF($B$23="","",IF((F73*1000*$B$23*$C$16)/($C$15*60)&gt;$C$14,"",(F73*1000*$B$23*$C$16)/($C$15*60))),"")</f>
        <v/>
      </c>
      <c r="D73" s="7">
        <f>IFERROR(IF($B$24="","",IF((F73*1000*$B$24*$C$16)/($C$15*60)&gt;$C$14,"",(F73*1000*$B$24*$C$16)/($C$15*60))),"")</f>
        <v/>
      </c>
      <c r="E73" s="7">
        <f>IFERROR(IF($B$25="","",IF((F73*1000*$B$25*$C$16)/($C$15*60)&gt;$C$14,"",(F73*1000*$B$25*$C$16)/($C$15*60))),"")</f>
        <v/>
      </c>
      <c r="F73" s="7">
        <f>IF($N$6-(ROW()-28)*$N$5&gt;=0,$N$6-(ROW()-28)*$N$5,"")</f>
        <v/>
      </c>
      <c r="G73" s="7">
        <f>IFERROR(IF($H$21="","",IF((F73*1000*$H$21*$I$16)/($I$15*60)&gt;$I$14,"",(F73*1000*$H$21*$I$16)/($I$15*60))),"")</f>
        <v/>
      </c>
      <c r="H73" s="7">
        <f>IFERROR(IF($H$22="","",IF((F73*1000*$H$22*$I$16)/($I$15*60)&gt;$I$14,"",(F73*1000*$H$22*$I$16)/($I$15*60))),"")</f>
        <v/>
      </c>
      <c r="I73" s="7">
        <f>IFERROR(IF($H$23="","",IF((F73*1000*$H$23*$I$16)/($I$15*60)&gt;$I$14,"",(F73*1000*$H$23*$I$16)/($I$15*60))),"")</f>
        <v/>
      </c>
      <c r="J73" s="7">
        <f>IFERROR(IF($H$24="","",IF((F73*1000*$H$24*$I$16)/($I$15*60)&gt;$I$14,"",(F73*1000*$H$24*$I$16)/($I$15*60))),"")</f>
        <v/>
      </c>
      <c r="K73" s="7">
        <f>IFERROR(IF($H$25="","",IF((F73*1000*$H$25*$I$16)/($I$15*60)&gt;$I$14,"",(F73*1000*$H$25*$I$16)/($I$15*60))),"")</f>
        <v/>
      </c>
    </row>
    <row r="74">
      <c r="A74" s="7">
        <f>IFERROR(IF($B$21="","",IF((F74*1000*$B$21*$C$16)/($C$15*60)&gt;$C$14,"",(F74*1000*$B$21*$C$16)/($C$15*60))),"")</f>
        <v/>
      </c>
      <c r="B74" s="7">
        <f>IFERROR(IF($B$22="","",IF((F74*1000*$B$22*$C$16)/($C$15*60)&gt;$C$14,"",(F74*1000*$B$22*$C$16)/($C$15*60))),"")</f>
        <v/>
      </c>
      <c r="C74" s="7">
        <f>IFERROR(IF($B$23="","",IF((F74*1000*$B$23*$C$16)/($C$15*60)&gt;$C$14,"",(F74*1000*$B$23*$C$16)/($C$15*60))),"")</f>
        <v/>
      </c>
      <c r="D74" s="7">
        <f>IFERROR(IF($B$24="","",IF((F74*1000*$B$24*$C$16)/($C$15*60)&gt;$C$14,"",(F74*1000*$B$24*$C$16)/($C$15*60))),"")</f>
        <v/>
      </c>
      <c r="E74" s="7">
        <f>IFERROR(IF($B$25="","",IF((F74*1000*$B$25*$C$16)/($C$15*60)&gt;$C$14,"",(F74*1000*$B$25*$C$16)/($C$15*60))),"")</f>
        <v/>
      </c>
      <c r="F74" s="7">
        <f>IF($N$6-(ROW()-28)*$N$5&gt;=0,$N$6-(ROW()-28)*$N$5,"")</f>
        <v/>
      </c>
      <c r="G74" s="7">
        <f>IFERROR(IF($H$21="","",IF((F74*1000*$H$21*$I$16)/($I$15*60)&gt;$I$14,"",(F74*1000*$H$21*$I$16)/($I$15*60))),"")</f>
        <v/>
      </c>
      <c r="H74" s="7">
        <f>IFERROR(IF($H$22="","",IF((F74*1000*$H$22*$I$16)/($I$15*60)&gt;$I$14,"",(F74*1000*$H$22*$I$16)/($I$15*60))),"")</f>
        <v/>
      </c>
      <c r="I74" s="7">
        <f>IFERROR(IF($H$23="","",IF((F74*1000*$H$23*$I$16)/($I$15*60)&gt;$I$14,"",(F74*1000*$H$23*$I$16)/($I$15*60))),"")</f>
        <v/>
      </c>
      <c r="J74" s="7">
        <f>IFERROR(IF($H$24="","",IF((F74*1000*$H$24*$I$16)/($I$15*60)&gt;$I$14,"",(F74*1000*$H$24*$I$16)/($I$15*60))),"")</f>
        <v/>
      </c>
      <c r="K74" s="7">
        <f>IFERROR(IF($H$25="","",IF((F74*1000*$H$25*$I$16)/($I$15*60)&gt;$I$14,"",(F74*1000*$H$25*$I$16)/($I$15*60))),"")</f>
        <v/>
      </c>
    </row>
    <row r="75">
      <c r="A75" s="7">
        <f>IFERROR(IF($B$21="","",IF((F75*1000*$B$21*$C$16)/($C$15*60)&gt;$C$14,"",(F75*1000*$B$21*$C$16)/($C$15*60))),"")</f>
        <v/>
      </c>
      <c r="B75" s="7">
        <f>IFERROR(IF($B$22="","",IF((F75*1000*$B$22*$C$16)/($C$15*60)&gt;$C$14,"",(F75*1000*$B$22*$C$16)/($C$15*60))),"")</f>
        <v/>
      </c>
      <c r="C75" s="7">
        <f>IFERROR(IF($B$23="","",IF((F75*1000*$B$23*$C$16)/($C$15*60)&gt;$C$14,"",(F75*1000*$B$23*$C$16)/($C$15*60))),"")</f>
        <v/>
      </c>
      <c r="D75" s="7">
        <f>IFERROR(IF($B$24="","",IF((F75*1000*$B$24*$C$16)/($C$15*60)&gt;$C$14,"",(F75*1000*$B$24*$C$16)/($C$15*60))),"")</f>
        <v/>
      </c>
      <c r="E75" s="7">
        <f>IFERROR(IF($B$25="","",IF((F75*1000*$B$25*$C$16)/($C$15*60)&gt;$C$14,"",(F75*1000*$B$25*$C$16)/($C$15*60))),"")</f>
        <v/>
      </c>
      <c r="F75" s="7">
        <f>IF($N$6-(ROW()-28)*$N$5&gt;=0,$N$6-(ROW()-28)*$N$5,"")</f>
        <v/>
      </c>
      <c r="G75" s="7">
        <f>IFERROR(IF($H$21="","",IF((F75*1000*$H$21*$I$16)/($I$15*60)&gt;$I$14,"",(F75*1000*$H$21*$I$16)/($I$15*60))),"")</f>
        <v/>
      </c>
      <c r="H75" s="7">
        <f>IFERROR(IF($H$22="","",IF((F75*1000*$H$22*$I$16)/($I$15*60)&gt;$I$14,"",(F75*1000*$H$22*$I$16)/($I$15*60))),"")</f>
        <v/>
      </c>
      <c r="I75" s="7">
        <f>IFERROR(IF($H$23="","",IF((F75*1000*$H$23*$I$16)/($I$15*60)&gt;$I$14,"",(F75*1000*$H$23*$I$16)/($I$15*60))),"")</f>
        <v/>
      </c>
      <c r="J75" s="7">
        <f>IFERROR(IF($H$24="","",IF((F75*1000*$H$24*$I$16)/($I$15*60)&gt;$I$14,"",(F75*1000*$H$24*$I$16)/($I$15*60))),"")</f>
        <v/>
      </c>
      <c r="K75" s="7">
        <f>IFERROR(IF($H$25="","",IF((F75*1000*$H$25*$I$16)/($I$15*60)&gt;$I$14,"",(F75*1000*$H$25*$I$16)/($I$15*60))),"")</f>
        <v/>
      </c>
    </row>
    <row r="76">
      <c r="A76" s="7">
        <f>IFERROR(IF($B$21="","",IF((F76*1000*$B$21*$C$16)/($C$15*60)&gt;$C$14,"",(F76*1000*$B$21*$C$16)/($C$15*60))),"")</f>
        <v/>
      </c>
      <c r="B76" s="7">
        <f>IFERROR(IF($B$22="","",IF((F76*1000*$B$22*$C$16)/($C$15*60)&gt;$C$14,"",(F76*1000*$B$22*$C$16)/($C$15*60))),"")</f>
        <v/>
      </c>
      <c r="C76" s="7">
        <f>IFERROR(IF($B$23="","",IF((F76*1000*$B$23*$C$16)/($C$15*60)&gt;$C$14,"",(F76*1000*$B$23*$C$16)/($C$15*60))),"")</f>
        <v/>
      </c>
      <c r="D76" s="7">
        <f>IFERROR(IF($B$24="","",IF((F76*1000*$B$24*$C$16)/($C$15*60)&gt;$C$14,"",(F76*1000*$B$24*$C$16)/($C$15*60))),"")</f>
        <v/>
      </c>
      <c r="E76" s="7">
        <f>IFERROR(IF($B$25="","",IF((F76*1000*$B$25*$C$16)/($C$15*60)&gt;$C$14,"",(F76*1000*$B$25*$C$16)/($C$15*60))),"")</f>
        <v/>
      </c>
      <c r="F76" s="7">
        <f>IF($N$6-(ROW()-28)*$N$5&gt;=0,$N$6-(ROW()-28)*$N$5,"")</f>
        <v/>
      </c>
      <c r="G76" s="7">
        <f>IFERROR(IF($H$21="","",IF((F76*1000*$H$21*$I$16)/($I$15*60)&gt;$I$14,"",(F76*1000*$H$21*$I$16)/($I$15*60))),"")</f>
        <v/>
      </c>
      <c r="H76" s="7">
        <f>IFERROR(IF($H$22="","",IF((F76*1000*$H$22*$I$16)/($I$15*60)&gt;$I$14,"",(F76*1000*$H$22*$I$16)/($I$15*60))),"")</f>
        <v/>
      </c>
      <c r="I76" s="7">
        <f>IFERROR(IF($H$23="","",IF((F76*1000*$H$23*$I$16)/($I$15*60)&gt;$I$14,"",(F76*1000*$H$23*$I$16)/($I$15*60))),"")</f>
        <v/>
      </c>
      <c r="J76" s="7">
        <f>IFERROR(IF($H$24="","",IF((F76*1000*$H$24*$I$16)/($I$15*60)&gt;$I$14,"",(F76*1000*$H$24*$I$16)/($I$15*60))),"")</f>
        <v/>
      </c>
      <c r="K76" s="7">
        <f>IFERROR(IF($H$25="","",IF((F76*1000*$H$25*$I$16)/($I$15*60)&gt;$I$14,"",(F76*1000*$H$25*$I$16)/($I$15*60))),"")</f>
        <v/>
      </c>
    </row>
    <row r="77">
      <c r="A77" s="7">
        <f>IFERROR(IF($B$21="","",IF((F77*1000*$B$21*$C$16)/($C$15*60)&gt;$C$14,"",(F77*1000*$B$21*$C$16)/($C$15*60))),"")</f>
        <v/>
      </c>
      <c r="B77" s="7">
        <f>IFERROR(IF($B$22="","",IF((F77*1000*$B$22*$C$16)/($C$15*60)&gt;$C$14,"",(F77*1000*$B$22*$C$16)/($C$15*60))),"")</f>
        <v/>
      </c>
      <c r="C77" s="7">
        <f>IFERROR(IF($B$23="","",IF((F77*1000*$B$23*$C$16)/($C$15*60)&gt;$C$14,"",(F77*1000*$B$23*$C$16)/($C$15*60))),"")</f>
        <v/>
      </c>
      <c r="D77" s="7">
        <f>IFERROR(IF($B$24="","",IF((F77*1000*$B$24*$C$16)/($C$15*60)&gt;$C$14,"",(F77*1000*$B$24*$C$16)/($C$15*60))),"")</f>
        <v/>
      </c>
      <c r="E77" s="7">
        <f>IFERROR(IF($B$25="","",IF((F77*1000*$B$25*$C$16)/($C$15*60)&gt;$C$14,"",(F77*1000*$B$25*$C$16)/($C$15*60))),"")</f>
        <v/>
      </c>
      <c r="F77" s="7">
        <f>IF($N$6-(ROW()-28)*$N$5&gt;=0,$N$6-(ROW()-28)*$N$5,"")</f>
        <v/>
      </c>
      <c r="G77" s="7">
        <f>IFERROR(IF($H$21="","",IF((F77*1000*$H$21*$I$16)/($I$15*60)&gt;$I$14,"",(F77*1000*$H$21*$I$16)/($I$15*60))),"")</f>
        <v/>
      </c>
      <c r="H77" s="7">
        <f>IFERROR(IF($H$22="","",IF((F77*1000*$H$22*$I$16)/($I$15*60)&gt;$I$14,"",(F77*1000*$H$22*$I$16)/($I$15*60))),"")</f>
        <v/>
      </c>
      <c r="I77" s="7">
        <f>IFERROR(IF($H$23="","",IF((F77*1000*$H$23*$I$16)/($I$15*60)&gt;$I$14,"",(F77*1000*$H$23*$I$16)/($I$15*60))),"")</f>
        <v/>
      </c>
      <c r="J77" s="7">
        <f>IFERROR(IF($H$24="","",IF((F77*1000*$H$24*$I$16)/($I$15*60)&gt;$I$14,"",(F77*1000*$H$24*$I$16)/($I$15*60))),"")</f>
        <v/>
      </c>
      <c r="K77" s="7">
        <f>IFERROR(IF($H$25="","",IF((F77*1000*$H$25*$I$16)/($I$15*60)&gt;$I$14,"",(F77*1000*$H$25*$I$16)/($I$15*60))),"")</f>
        <v/>
      </c>
    </row>
    <row r="78">
      <c r="A78" s="7">
        <f>IFERROR(IF($B$21="","",IF((F78*1000*$B$21*$C$16)/($C$15*60)&gt;$C$14,"",(F78*1000*$B$21*$C$16)/($C$15*60))),"")</f>
        <v/>
      </c>
      <c r="B78" s="7">
        <f>IFERROR(IF($B$22="","",IF((F78*1000*$B$22*$C$16)/($C$15*60)&gt;$C$14,"",(F78*1000*$B$22*$C$16)/($C$15*60))),"")</f>
        <v/>
      </c>
      <c r="C78" s="7">
        <f>IFERROR(IF($B$23="","",IF((F78*1000*$B$23*$C$16)/($C$15*60)&gt;$C$14,"",(F78*1000*$B$23*$C$16)/($C$15*60))),"")</f>
        <v/>
      </c>
      <c r="D78" s="7">
        <f>IFERROR(IF($B$24="","",IF((F78*1000*$B$24*$C$16)/($C$15*60)&gt;$C$14,"",(F78*1000*$B$24*$C$16)/($C$15*60))),"")</f>
        <v/>
      </c>
      <c r="E78" s="7">
        <f>IFERROR(IF($B$25="","",IF((F78*1000*$B$25*$C$16)/($C$15*60)&gt;$C$14,"",(F78*1000*$B$25*$C$16)/($C$15*60))),"")</f>
        <v/>
      </c>
      <c r="F78" s="7">
        <f>IF($N$6-(ROW()-28)*$N$5&gt;=0,$N$6-(ROW()-28)*$N$5,"")</f>
        <v/>
      </c>
      <c r="G78" s="7">
        <f>IFERROR(IF($H$21="","",IF((F78*1000*$H$21*$I$16)/($I$15*60)&gt;$I$14,"",(F78*1000*$H$21*$I$16)/($I$15*60))),"")</f>
        <v/>
      </c>
      <c r="H78" s="7">
        <f>IFERROR(IF($H$22="","",IF((F78*1000*$H$22*$I$16)/($I$15*60)&gt;$I$14,"",(F78*1000*$H$22*$I$16)/($I$15*60))),"")</f>
        <v/>
      </c>
      <c r="I78" s="7">
        <f>IFERROR(IF($H$23="","",IF((F78*1000*$H$23*$I$16)/($I$15*60)&gt;$I$14,"",(F78*1000*$H$23*$I$16)/($I$15*60))),"")</f>
        <v/>
      </c>
      <c r="J78" s="7">
        <f>IFERROR(IF($H$24="","",IF((F78*1000*$H$24*$I$16)/($I$15*60)&gt;$I$14,"",(F78*1000*$H$24*$I$16)/($I$15*60))),"")</f>
        <v/>
      </c>
      <c r="K78" s="7">
        <f>IFERROR(IF($H$25="","",IF((F78*1000*$H$25*$I$16)/($I$15*60)&gt;$I$14,"",(F78*1000*$H$25*$I$16)/($I$15*60))),"")</f>
        <v/>
      </c>
    </row>
    <row r="79">
      <c r="A79" s="7">
        <f>IFERROR(IF($B$21="","",IF((F79*1000*$B$21*$C$16)/($C$15*60)&gt;$C$14,"",(F79*1000*$B$21*$C$16)/($C$15*60))),"")</f>
        <v/>
      </c>
      <c r="B79" s="7">
        <f>IFERROR(IF($B$22="","",IF((F79*1000*$B$22*$C$16)/($C$15*60)&gt;$C$14,"",(F79*1000*$B$22*$C$16)/($C$15*60))),"")</f>
        <v/>
      </c>
      <c r="C79" s="7">
        <f>IFERROR(IF($B$23="","",IF((F79*1000*$B$23*$C$16)/($C$15*60)&gt;$C$14,"",(F79*1000*$B$23*$C$16)/($C$15*60))),"")</f>
        <v/>
      </c>
      <c r="D79" s="7">
        <f>IFERROR(IF($B$24="","",IF((F79*1000*$B$24*$C$16)/($C$15*60)&gt;$C$14,"",(F79*1000*$B$24*$C$16)/($C$15*60))),"")</f>
        <v/>
      </c>
      <c r="E79" s="7">
        <f>IFERROR(IF($B$25="","",IF((F79*1000*$B$25*$C$16)/($C$15*60)&gt;$C$14,"",(F79*1000*$B$25*$C$16)/($C$15*60))),"")</f>
        <v/>
      </c>
      <c r="F79" s="7">
        <f>IF($N$6-(ROW()-28)*$N$5&gt;=0,$N$6-(ROW()-28)*$N$5,"")</f>
        <v/>
      </c>
      <c r="G79" s="7">
        <f>IFERROR(IF($H$21="","",IF((F79*1000*$H$21*$I$16)/($I$15*60)&gt;$I$14,"",(F79*1000*$H$21*$I$16)/($I$15*60))),"")</f>
        <v/>
      </c>
      <c r="H79" s="7">
        <f>IFERROR(IF($H$22="","",IF((F79*1000*$H$22*$I$16)/($I$15*60)&gt;$I$14,"",(F79*1000*$H$22*$I$16)/($I$15*60))),"")</f>
        <v/>
      </c>
      <c r="I79" s="7">
        <f>IFERROR(IF($H$23="","",IF((F79*1000*$H$23*$I$16)/($I$15*60)&gt;$I$14,"",(F79*1000*$H$23*$I$16)/($I$15*60))),"")</f>
        <v/>
      </c>
      <c r="J79" s="7">
        <f>IFERROR(IF($H$24="","",IF((F79*1000*$H$24*$I$16)/($I$15*60)&gt;$I$14,"",(F79*1000*$H$24*$I$16)/($I$15*60))),"")</f>
        <v/>
      </c>
      <c r="K79" s="7">
        <f>IFERROR(IF($H$25="","",IF((F79*1000*$H$25*$I$16)/($I$15*60)&gt;$I$14,"",(F79*1000*$H$25*$I$16)/($I$15*60))),"")</f>
        <v/>
      </c>
    </row>
    <row r="80">
      <c r="A80" s="7">
        <f>IFERROR(IF($B$21="","",IF((F80*1000*$B$21*$C$16)/($C$15*60)&gt;$C$14,"",(F80*1000*$B$21*$C$16)/($C$15*60))),"")</f>
        <v/>
      </c>
      <c r="B80" s="7">
        <f>IFERROR(IF($B$22="","",IF((F80*1000*$B$22*$C$16)/($C$15*60)&gt;$C$14,"",(F80*1000*$B$22*$C$16)/($C$15*60))),"")</f>
        <v/>
      </c>
      <c r="C80" s="7">
        <f>IFERROR(IF($B$23="","",IF((F80*1000*$B$23*$C$16)/($C$15*60)&gt;$C$14,"",(F80*1000*$B$23*$C$16)/($C$15*60))),"")</f>
        <v/>
      </c>
      <c r="D80" s="7">
        <f>IFERROR(IF($B$24="","",IF((F80*1000*$B$24*$C$16)/($C$15*60)&gt;$C$14,"",(F80*1000*$B$24*$C$16)/($C$15*60))),"")</f>
        <v/>
      </c>
      <c r="E80" s="7">
        <f>IFERROR(IF($B$25="","",IF((F80*1000*$B$25*$C$16)/($C$15*60)&gt;$C$14,"",(F80*1000*$B$25*$C$16)/($C$15*60))),"")</f>
        <v/>
      </c>
      <c r="F80" s="7">
        <f>IF($N$6-(ROW()-28)*$N$5&gt;=0,$N$6-(ROW()-28)*$N$5,"")</f>
        <v/>
      </c>
      <c r="G80" s="7">
        <f>IFERROR(IF($H$21="","",IF((F80*1000*$H$21*$I$16)/($I$15*60)&gt;$I$14,"",(F80*1000*$H$21*$I$16)/($I$15*60))),"")</f>
        <v/>
      </c>
      <c r="H80" s="7">
        <f>IFERROR(IF($H$22="","",IF((F80*1000*$H$22*$I$16)/($I$15*60)&gt;$I$14,"",(F80*1000*$H$22*$I$16)/($I$15*60))),"")</f>
        <v/>
      </c>
      <c r="I80" s="7">
        <f>IFERROR(IF($H$23="","",IF((F80*1000*$H$23*$I$16)/($I$15*60)&gt;$I$14,"",(F80*1000*$H$23*$I$16)/($I$15*60))),"")</f>
        <v/>
      </c>
      <c r="J80" s="7">
        <f>IFERROR(IF($H$24="","",IF((F80*1000*$H$24*$I$16)/($I$15*60)&gt;$I$14,"",(F80*1000*$H$24*$I$16)/($I$15*60))),"")</f>
        <v/>
      </c>
      <c r="K80" s="7">
        <f>IFERROR(IF($H$25="","",IF((F80*1000*$H$25*$I$16)/($I$15*60)&gt;$I$14,"",(F80*1000*$H$25*$I$16)/($I$15*60))),"")</f>
        <v/>
      </c>
    </row>
    <row r="81">
      <c r="A81" s="7">
        <f>IFERROR(IF($B$21="","",IF((F81*1000*$B$21*$C$16)/($C$15*60)&gt;$C$14,"",(F81*1000*$B$21*$C$16)/($C$15*60))),"")</f>
        <v/>
      </c>
      <c r="B81" s="7">
        <f>IFERROR(IF($B$22="","",IF((F81*1000*$B$22*$C$16)/($C$15*60)&gt;$C$14,"",(F81*1000*$B$22*$C$16)/($C$15*60))),"")</f>
        <v/>
      </c>
      <c r="C81" s="7">
        <f>IFERROR(IF($B$23="","",IF((F81*1000*$B$23*$C$16)/($C$15*60)&gt;$C$14,"",(F81*1000*$B$23*$C$16)/($C$15*60))),"")</f>
        <v/>
      </c>
      <c r="D81" s="7">
        <f>IFERROR(IF($B$24="","",IF((F81*1000*$B$24*$C$16)/($C$15*60)&gt;$C$14,"",(F81*1000*$B$24*$C$16)/($C$15*60))),"")</f>
        <v/>
      </c>
      <c r="E81" s="7">
        <f>IFERROR(IF($B$25="","",IF((F81*1000*$B$25*$C$16)/($C$15*60)&gt;$C$14,"",(F81*1000*$B$25*$C$16)/($C$15*60))),"")</f>
        <v/>
      </c>
      <c r="F81" s="7">
        <f>IF($N$6-(ROW()-28)*$N$5&gt;=0,$N$6-(ROW()-28)*$N$5,"")</f>
        <v/>
      </c>
      <c r="G81" s="7">
        <f>IFERROR(IF($H$21="","",IF((F81*1000*$H$21*$I$16)/($I$15*60)&gt;$I$14,"",(F81*1000*$H$21*$I$16)/($I$15*60))),"")</f>
        <v/>
      </c>
      <c r="H81" s="7">
        <f>IFERROR(IF($H$22="","",IF((F81*1000*$H$22*$I$16)/($I$15*60)&gt;$I$14,"",(F81*1000*$H$22*$I$16)/($I$15*60))),"")</f>
        <v/>
      </c>
      <c r="I81" s="7">
        <f>IFERROR(IF($H$23="","",IF((F81*1000*$H$23*$I$16)/($I$15*60)&gt;$I$14,"",(F81*1000*$H$23*$I$16)/($I$15*60))),"")</f>
        <v/>
      </c>
      <c r="J81" s="7">
        <f>IFERROR(IF($H$24="","",IF((F81*1000*$H$24*$I$16)/($I$15*60)&gt;$I$14,"",(F81*1000*$H$24*$I$16)/($I$15*60))),"")</f>
        <v/>
      </c>
      <c r="K81" s="7">
        <f>IFERROR(IF($H$25="","",IF((F81*1000*$H$25*$I$16)/($I$15*60)&gt;$I$14,"",(F81*1000*$H$25*$I$16)/($I$15*60))),"")</f>
        <v/>
      </c>
    </row>
    <row r="82">
      <c r="A82" s="7">
        <f>IFERROR(IF($B$21="","",IF((F82*1000*$B$21*$C$16)/($C$15*60)&gt;$C$14,"",(F82*1000*$B$21*$C$16)/($C$15*60))),"")</f>
        <v/>
      </c>
      <c r="B82" s="7">
        <f>IFERROR(IF($B$22="","",IF((F82*1000*$B$22*$C$16)/($C$15*60)&gt;$C$14,"",(F82*1000*$B$22*$C$16)/($C$15*60))),"")</f>
        <v/>
      </c>
      <c r="C82" s="7">
        <f>IFERROR(IF($B$23="","",IF((F82*1000*$B$23*$C$16)/($C$15*60)&gt;$C$14,"",(F82*1000*$B$23*$C$16)/($C$15*60))),"")</f>
        <v/>
      </c>
      <c r="D82" s="7">
        <f>IFERROR(IF($B$24="","",IF((F82*1000*$B$24*$C$16)/($C$15*60)&gt;$C$14,"",(F82*1000*$B$24*$C$16)/($C$15*60))),"")</f>
        <v/>
      </c>
      <c r="E82" s="7">
        <f>IFERROR(IF($B$25="","",IF((F82*1000*$B$25*$C$16)/($C$15*60)&gt;$C$14,"",(F82*1000*$B$25*$C$16)/($C$15*60))),"")</f>
        <v/>
      </c>
      <c r="F82" s="7">
        <f>IF($N$6-(ROW()-28)*$N$5&gt;=0,$N$6-(ROW()-28)*$N$5,"")</f>
        <v/>
      </c>
      <c r="G82" s="7">
        <f>IFERROR(IF($H$21="","",IF((F82*1000*$H$21*$I$16)/($I$15*60)&gt;$I$14,"",(F82*1000*$H$21*$I$16)/($I$15*60))),"")</f>
        <v/>
      </c>
      <c r="H82" s="7">
        <f>IFERROR(IF($H$22="","",IF((F82*1000*$H$22*$I$16)/($I$15*60)&gt;$I$14,"",(F82*1000*$H$22*$I$16)/($I$15*60))),"")</f>
        <v/>
      </c>
      <c r="I82" s="7">
        <f>IFERROR(IF($H$23="","",IF((F82*1000*$H$23*$I$16)/($I$15*60)&gt;$I$14,"",(F82*1000*$H$23*$I$16)/($I$15*60))),"")</f>
        <v/>
      </c>
      <c r="J82" s="7">
        <f>IFERROR(IF($H$24="","",IF((F82*1000*$H$24*$I$16)/($I$15*60)&gt;$I$14,"",(F82*1000*$H$24*$I$16)/($I$15*60))),"")</f>
        <v/>
      </c>
      <c r="K82" s="7">
        <f>IFERROR(IF($H$25="","",IF((F82*1000*$H$25*$I$16)/($I$15*60)&gt;$I$14,"",(F82*1000*$H$25*$I$16)/($I$15*60))),"")</f>
        <v/>
      </c>
    </row>
    <row r="83">
      <c r="A83" s="7">
        <f>IFERROR(IF($B$21="","",IF((F83*1000*$B$21*$C$16)/($C$15*60)&gt;$C$14,"",(F83*1000*$B$21*$C$16)/($C$15*60))),"")</f>
        <v/>
      </c>
      <c r="B83" s="7">
        <f>IFERROR(IF($B$22="","",IF((F83*1000*$B$22*$C$16)/($C$15*60)&gt;$C$14,"",(F83*1000*$B$22*$C$16)/($C$15*60))),"")</f>
        <v/>
      </c>
      <c r="C83" s="7">
        <f>IFERROR(IF($B$23="","",IF((F83*1000*$B$23*$C$16)/($C$15*60)&gt;$C$14,"",(F83*1000*$B$23*$C$16)/($C$15*60))),"")</f>
        <v/>
      </c>
      <c r="D83" s="7">
        <f>IFERROR(IF($B$24="","",IF((F83*1000*$B$24*$C$16)/($C$15*60)&gt;$C$14,"",(F83*1000*$B$24*$C$16)/($C$15*60))),"")</f>
        <v/>
      </c>
      <c r="E83" s="7">
        <f>IFERROR(IF($B$25="","",IF((F83*1000*$B$25*$C$16)/($C$15*60)&gt;$C$14,"",(F83*1000*$B$25*$C$16)/($C$15*60))),"")</f>
        <v/>
      </c>
      <c r="F83" s="7">
        <f>IF($N$6-(ROW()-28)*$N$5&gt;=0,$N$6-(ROW()-28)*$N$5,"")</f>
        <v/>
      </c>
      <c r="G83" s="7">
        <f>IFERROR(IF($H$21="","",IF((F83*1000*$H$21*$I$16)/($I$15*60)&gt;$I$14,"",(F83*1000*$H$21*$I$16)/($I$15*60))),"")</f>
        <v/>
      </c>
      <c r="H83" s="7">
        <f>IFERROR(IF($H$22="","",IF((F83*1000*$H$22*$I$16)/($I$15*60)&gt;$I$14,"",(F83*1000*$H$22*$I$16)/($I$15*60))),"")</f>
        <v/>
      </c>
      <c r="I83" s="7">
        <f>IFERROR(IF($H$23="","",IF((F83*1000*$H$23*$I$16)/($I$15*60)&gt;$I$14,"",(F83*1000*$H$23*$I$16)/($I$15*60))),"")</f>
        <v/>
      </c>
      <c r="J83" s="7">
        <f>IFERROR(IF($H$24="","",IF((F83*1000*$H$24*$I$16)/($I$15*60)&gt;$I$14,"",(F83*1000*$H$24*$I$16)/($I$15*60))),"")</f>
        <v/>
      </c>
      <c r="K83" s="7">
        <f>IFERROR(IF($H$25="","",IF((F83*1000*$H$25*$I$16)/($I$15*60)&gt;$I$14,"",(F83*1000*$H$25*$I$16)/($I$15*60))),"")</f>
        <v/>
      </c>
    </row>
    <row r="84">
      <c r="A84" s="7">
        <f>IFERROR(IF($B$21="","",IF((F84*1000*$B$21*$C$16)/($C$15*60)&gt;$C$14,"",(F84*1000*$B$21*$C$16)/($C$15*60))),"")</f>
        <v/>
      </c>
      <c r="B84" s="7">
        <f>IFERROR(IF($B$22="","",IF((F84*1000*$B$22*$C$16)/($C$15*60)&gt;$C$14,"",(F84*1000*$B$22*$C$16)/($C$15*60))),"")</f>
        <v/>
      </c>
      <c r="C84" s="7">
        <f>IFERROR(IF($B$23="","",IF((F84*1000*$B$23*$C$16)/($C$15*60)&gt;$C$14,"",(F84*1000*$B$23*$C$16)/($C$15*60))),"")</f>
        <v/>
      </c>
      <c r="D84" s="7">
        <f>IFERROR(IF($B$24="","",IF((F84*1000*$B$24*$C$16)/($C$15*60)&gt;$C$14,"",(F84*1000*$B$24*$C$16)/($C$15*60))),"")</f>
        <v/>
      </c>
      <c r="E84" s="7">
        <f>IFERROR(IF($B$25="","",IF((F84*1000*$B$25*$C$16)/($C$15*60)&gt;$C$14,"",(F84*1000*$B$25*$C$16)/($C$15*60))),"")</f>
        <v/>
      </c>
      <c r="F84" s="7">
        <f>IF($N$6-(ROW()-28)*$N$5&gt;=0,$N$6-(ROW()-28)*$N$5,"")</f>
        <v/>
      </c>
      <c r="G84" s="7">
        <f>IFERROR(IF($H$21="","",IF((F84*1000*$H$21*$I$16)/($I$15*60)&gt;$I$14,"",(F84*1000*$H$21*$I$16)/($I$15*60))),"")</f>
        <v/>
      </c>
      <c r="H84" s="7">
        <f>IFERROR(IF($H$22="","",IF((F84*1000*$H$22*$I$16)/($I$15*60)&gt;$I$14,"",(F84*1000*$H$22*$I$16)/($I$15*60))),"")</f>
        <v/>
      </c>
      <c r="I84" s="7">
        <f>IFERROR(IF($H$23="","",IF((F84*1000*$H$23*$I$16)/($I$15*60)&gt;$I$14,"",(F84*1000*$H$23*$I$16)/($I$15*60))),"")</f>
        <v/>
      </c>
      <c r="J84" s="7">
        <f>IFERROR(IF($H$24="","",IF((F84*1000*$H$24*$I$16)/($I$15*60)&gt;$I$14,"",(F84*1000*$H$24*$I$16)/($I$15*60))),"")</f>
        <v/>
      </c>
      <c r="K84" s="7">
        <f>IFERROR(IF($H$25="","",IF((F84*1000*$H$25*$I$16)/($I$15*60)&gt;$I$14,"",(F84*1000*$H$25*$I$16)/($I$15*60))),"")</f>
        <v/>
      </c>
    </row>
    <row r="85">
      <c r="A85" s="7">
        <f>IFERROR(IF($B$21="","",IF((F85*1000*$B$21*$C$16)/($C$15*60)&gt;$C$14,"",(F85*1000*$B$21*$C$16)/($C$15*60))),"")</f>
        <v/>
      </c>
      <c r="B85" s="7">
        <f>IFERROR(IF($B$22="","",IF((F85*1000*$B$22*$C$16)/($C$15*60)&gt;$C$14,"",(F85*1000*$B$22*$C$16)/($C$15*60))),"")</f>
        <v/>
      </c>
      <c r="C85" s="7">
        <f>IFERROR(IF($B$23="","",IF((F85*1000*$B$23*$C$16)/($C$15*60)&gt;$C$14,"",(F85*1000*$B$23*$C$16)/($C$15*60))),"")</f>
        <v/>
      </c>
      <c r="D85" s="7">
        <f>IFERROR(IF($B$24="","",IF((F85*1000*$B$24*$C$16)/($C$15*60)&gt;$C$14,"",(F85*1000*$B$24*$C$16)/($C$15*60))),"")</f>
        <v/>
      </c>
      <c r="E85" s="7">
        <f>IFERROR(IF($B$25="","",IF((F85*1000*$B$25*$C$16)/($C$15*60)&gt;$C$14,"",(F85*1000*$B$25*$C$16)/($C$15*60))),"")</f>
        <v/>
      </c>
      <c r="F85" s="7">
        <f>IF($N$6-(ROW()-28)*$N$5&gt;=0,$N$6-(ROW()-28)*$N$5,"")</f>
        <v/>
      </c>
      <c r="G85" s="7">
        <f>IFERROR(IF($H$21="","",IF((F85*1000*$H$21*$I$16)/($I$15*60)&gt;$I$14,"",(F85*1000*$H$21*$I$16)/($I$15*60))),"")</f>
        <v/>
      </c>
      <c r="H85" s="7">
        <f>IFERROR(IF($H$22="","",IF((F85*1000*$H$22*$I$16)/($I$15*60)&gt;$I$14,"",(F85*1000*$H$22*$I$16)/($I$15*60))),"")</f>
        <v/>
      </c>
      <c r="I85" s="7">
        <f>IFERROR(IF($H$23="","",IF((F85*1000*$H$23*$I$16)/($I$15*60)&gt;$I$14,"",(F85*1000*$H$23*$I$16)/($I$15*60))),"")</f>
        <v/>
      </c>
      <c r="J85" s="7">
        <f>IFERROR(IF($H$24="","",IF((F85*1000*$H$24*$I$16)/($I$15*60)&gt;$I$14,"",(F85*1000*$H$24*$I$16)/($I$15*60))),"")</f>
        <v/>
      </c>
      <c r="K85" s="7">
        <f>IFERROR(IF($H$25="","",IF((F85*1000*$H$25*$I$16)/($I$15*60)&gt;$I$14,"",(F85*1000*$H$25*$I$16)/($I$15*60))),"")</f>
        <v/>
      </c>
    </row>
    <row r="86">
      <c r="A86" s="7">
        <f>IFERROR(IF($B$21="","",IF((F86*1000*$B$21*$C$16)/($C$15*60)&gt;$C$14,"",(F86*1000*$B$21*$C$16)/($C$15*60))),"")</f>
        <v/>
      </c>
      <c r="B86" s="7">
        <f>IFERROR(IF($B$22="","",IF((F86*1000*$B$22*$C$16)/($C$15*60)&gt;$C$14,"",(F86*1000*$B$22*$C$16)/($C$15*60))),"")</f>
        <v/>
      </c>
      <c r="C86" s="7">
        <f>IFERROR(IF($B$23="","",IF((F86*1000*$B$23*$C$16)/($C$15*60)&gt;$C$14,"",(F86*1000*$B$23*$C$16)/($C$15*60))),"")</f>
        <v/>
      </c>
      <c r="D86" s="7">
        <f>IFERROR(IF($B$24="","",IF((F86*1000*$B$24*$C$16)/($C$15*60)&gt;$C$14,"",(F86*1000*$B$24*$C$16)/($C$15*60))),"")</f>
        <v/>
      </c>
      <c r="E86" s="7">
        <f>IFERROR(IF($B$25="","",IF((F86*1000*$B$25*$C$16)/($C$15*60)&gt;$C$14,"",(F86*1000*$B$25*$C$16)/($C$15*60))),"")</f>
        <v/>
      </c>
      <c r="F86" s="7">
        <f>IF($N$6-(ROW()-28)*$N$5&gt;=0,$N$6-(ROW()-28)*$N$5,"")</f>
        <v/>
      </c>
      <c r="G86" s="7">
        <f>IFERROR(IF($H$21="","",IF((F86*1000*$H$21*$I$16)/($I$15*60)&gt;$I$14,"",(F86*1000*$H$21*$I$16)/($I$15*60))),"")</f>
        <v/>
      </c>
      <c r="H86" s="7">
        <f>IFERROR(IF($H$22="","",IF((F86*1000*$H$22*$I$16)/($I$15*60)&gt;$I$14,"",(F86*1000*$H$22*$I$16)/($I$15*60))),"")</f>
        <v/>
      </c>
      <c r="I86" s="7">
        <f>IFERROR(IF($H$23="","",IF((F86*1000*$H$23*$I$16)/($I$15*60)&gt;$I$14,"",(F86*1000*$H$23*$I$16)/($I$15*60))),"")</f>
        <v/>
      </c>
      <c r="J86" s="7">
        <f>IFERROR(IF($H$24="","",IF((F86*1000*$H$24*$I$16)/($I$15*60)&gt;$I$14,"",(F86*1000*$H$24*$I$16)/($I$15*60))),"")</f>
        <v/>
      </c>
      <c r="K86" s="7">
        <f>IFERROR(IF($H$25="","",IF((F86*1000*$H$25*$I$16)/($I$15*60)&gt;$I$14,"",(F86*1000*$H$25*$I$16)/($I$15*60))),"")</f>
        <v/>
      </c>
    </row>
    <row r="87">
      <c r="A87" s="7">
        <f>IFERROR(IF($B$21="","",IF((F87*1000*$B$21*$C$16)/($C$15*60)&gt;$C$14,"",(F87*1000*$B$21*$C$16)/($C$15*60))),"")</f>
        <v/>
      </c>
      <c r="B87" s="7">
        <f>IFERROR(IF($B$22="","",IF((F87*1000*$B$22*$C$16)/($C$15*60)&gt;$C$14,"",(F87*1000*$B$22*$C$16)/($C$15*60))),"")</f>
        <v/>
      </c>
      <c r="C87" s="7">
        <f>IFERROR(IF($B$23="","",IF((F87*1000*$B$23*$C$16)/($C$15*60)&gt;$C$14,"",(F87*1000*$B$23*$C$16)/($C$15*60))),"")</f>
        <v/>
      </c>
      <c r="D87" s="7">
        <f>IFERROR(IF($B$24="","",IF((F87*1000*$B$24*$C$16)/($C$15*60)&gt;$C$14,"",(F87*1000*$B$24*$C$16)/($C$15*60))),"")</f>
        <v/>
      </c>
      <c r="E87" s="7">
        <f>IFERROR(IF($B$25="","",IF((F87*1000*$B$25*$C$16)/($C$15*60)&gt;$C$14,"",(F87*1000*$B$25*$C$16)/($C$15*60))),"")</f>
        <v/>
      </c>
      <c r="F87" s="7">
        <f>IF($N$6-(ROW()-28)*$N$5&gt;=0,$N$6-(ROW()-28)*$N$5,"")</f>
        <v/>
      </c>
      <c r="G87" s="7">
        <f>IFERROR(IF($H$21="","",IF((F87*1000*$H$21*$I$16)/($I$15*60)&gt;$I$14,"",(F87*1000*$H$21*$I$16)/($I$15*60))),"")</f>
        <v/>
      </c>
      <c r="H87" s="7">
        <f>IFERROR(IF($H$22="","",IF((F87*1000*$H$22*$I$16)/($I$15*60)&gt;$I$14,"",(F87*1000*$H$22*$I$16)/($I$15*60))),"")</f>
        <v/>
      </c>
      <c r="I87" s="7">
        <f>IFERROR(IF($H$23="","",IF((F87*1000*$H$23*$I$16)/($I$15*60)&gt;$I$14,"",(F87*1000*$H$23*$I$16)/($I$15*60))),"")</f>
        <v/>
      </c>
      <c r="J87" s="7">
        <f>IFERROR(IF($H$24="","",IF((F87*1000*$H$24*$I$16)/($I$15*60)&gt;$I$14,"",(F87*1000*$H$24*$I$16)/($I$15*60))),"")</f>
        <v/>
      </c>
      <c r="K87" s="7">
        <f>IFERROR(IF($H$25="","",IF((F87*1000*$H$25*$I$16)/($I$15*60)&gt;$I$14,"",(F87*1000*$H$25*$I$16)/($I$15*60))),"")</f>
        <v/>
      </c>
    </row>
    <row r="88">
      <c r="A88" s="7">
        <f>IFERROR(IF($B$21="","",IF((F88*1000*$B$21*$C$16)/($C$15*60)&gt;$C$14,"",(F88*1000*$B$21*$C$16)/($C$15*60))),"")</f>
        <v/>
      </c>
      <c r="B88" s="7">
        <f>IFERROR(IF($B$22="","",IF((F88*1000*$B$22*$C$16)/($C$15*60)&gt;$C$14,"",(F88*1000*$B$22*$C$16)/($C$15*60))),"")</f>
        <v/>
      </c>
      <c r="C88" s="7">
        <f>IFERROR(IF($B$23="","",IF((F88*1000*$B$23*$C$16)/($C$15*60)&gt;$C$14,"",(F88*1000*$B$23*$C$16)/($C$15*60))),"")</f>
        <v/>
      </c>
      <c r="D88" s="7">
        <f>IFERROR(IF($B$24="","",IF((F88*1000*$B$24*$C$16)/($C$15*60)&gt;$C$14,"",(F88*1000*$B$24*$C$16)/($C$15*60))),"")</f>
        <v/>
      </c>
      <c r="E88" s="7">
        <f>IFERROR(IF($B$25="","",IF((F88*1000*$B$25*$C$16)/($C$15*60)&gt;$C$14,"",(F88*1000*$B$25*$C$16)/($C$15*60))),"")</f>
        <v/>
      </c>
      <c r="F88" s="7">
        <f>IF($N$6-(ROW()-28)*$N$5&gt;=0,$N$6-(ROW()-28)*$N$5,"")</f>
        <v/>
      </c>
      <c r="G88" s="7">
        <f>IFERROR(IF($H$21="","",IF((F88*1000*$H$21*$I$16)/($I$15*60)&gt;$I$14,"",(F88*1000*$H$21*$I$16)/($I$15*60))),"")</f>
        <v/>
      </c>
      <c r="H88" s="7">
        <f>IFERROR(IF($H$22="","",IF((F88*1000*$H$22*$I$16)/($I$15*60)&gt;$I$14,"",(F88*1000*$H$22*$I$16)/($I$15*60))),"")</f>
        <v/>
      </c>
      <c r="I88" s="7">
        <f>IFERROR(IF($H$23="","",IF((F88*1000*$H$23*$I$16)/($I$15*60)&gt;$I$14,"",(F88*1000*$H$23*$I$16)/($I$15*60))),"")</f>
        <v/>
      </c>
      <c r="J88" s="7">
        <f>IFERROR(IF($H$24="","",IF((F88*1000*$H$24*$I$16)/($I$15*60)&gt;$I$14,"",(F88*1000*$H$24*$I$16)/($I$15*60))),"")</f>
        <v/>
      </c>
      <c r="K88" s="7">
        <f>IFERROR(IF($H$25="","",IF((F88*1000*$H$25*$I$16)/($I$15*60)&gt;$I$14,"",(F88*1000*$H$25*$I$16)/($I$15*60))),"")</f>
        <v/>
      </c>
    </row>
    <row r="89">
      <c r="A89" s="7">
        <f>IFERROR(IF($B$21="","",IF((F89*1000*$B$21*$C$16)/($C$15*60)&gt;$C$14,"",(F89*1000*$B$21*$C$16)/($C$15*60))),"")</f>
        <v/>
      </c>
      <c r="B89" s="7">
        <f>IFERROR(IF($B$22="","",IF((F89*1000*$B$22*$C$16)/($C$15*60)&gt;$C$14,"",(F89*1000*$B$22*$C$16)/($C$15*60))),"")</f>
        <v/>
      </c>
      <c r="C89" s="7">
        <f>IFERROR(IF($B$23="","",IF((F89*1000*$B$23*$C$16)/($C$15*60)&gt;$C$14,"",(F89*1000*$B$23*$C$16)/($C$15*60))),"")</f>
        <v/>
      </c>
      <c r="D89" s="7">
        <f>IFERROR(IF($B$24="","",IF((F89*1000*$B$24*$C$16)/($C$15*60)&gt;$C$14,"",(F89*1000*$B$24*$C$16)/($C$15*60))),"")</f>
        <v/>
      </c>
      <c r="E89" s="7">
        <f>IFERROR(IF($B$25="","",IF((F89*1000*$B$25*$C$16)/($C$15*60)&gt;$C$14,"",(F89*1000*$B$25*$C$16)/($C$15*60))),"")</f>
        <v/>
      </c>
      <c r="F89" s="7">
        <f>IF($N$6-(ROW()-28)*$N$5&gt;=0,$N$6-(ROW()-28)*$N$5,"")</f>
        <v/>
      </c>
      <c r="G89" s="7">
        <f>IFERROR(IF($H$21="","",IF((F89*1000*$H$21*$I$16)/($I$15*60)&gt;$I$14,"",(F89*1000*$H$21*$I$16)/($I$15*60))),"")</f>
        <v/>
      </c>
      <c r="H89" s="7">
        <f>IFERROR(IF($H$22="","",IF((F89*1000*$H$22*$I$16)/($I$15*60)&gt;$I$14,"",(F89*1000*$H$22*$I$16)/($I$15*60))),"")</f>
        <v/>
      </c>
      <c r="I89" s="7">
        <f>IFERROR(IF($H$23="","",IF((F89*1000*$H$23*$I$16)/($I$15*60)&gt;$I$14,"",(F89*1000*$H$23*$I$16)/($I$15*60))),"")</f>
        <v/>
      </c>
      <c r="J89" s="7">
        <f>IFERROR(IF($H$24="","",IF((F89*1000*$H$24*$I$16)/($I$15*60)&gt;$I$14,"",(F89*1000*$H$24*$I$16)/($I$15*60))),"")</f>
        <v/>
      </c>
      <c r="K89" s="7">
        <f>IFERROR(IF($H$25="","",IF((F89*1000*$H$25*$I$16)/($I$15*60)&gt;$I$14,"",(F89*1000*$H$25*$I$16)/($I$15*60))),"")</f>
        <v/>
      </c>
    </row>
    <row r="90">
      <c r="A90" s="7">
        <f>IFERROR(IF($B$21="","",IF((F90*1000*$B$21*$C$16)/($C$15*60)&gt;$C$14,"",(F90*1000*$B$21*$C$16)/($C$15*60))),"")</f>
        <v/>
      </c>
      <c r="B90" s="7">
        <f>IFERROR(IF($B$22="","",IF((F90*1000*$B$22*$C$16)/($C$15*60)&gt;$C$14,"",(F90*1000*$B$22*$C$16)/($C$15*60))),"")</f>
        <v/>
      </c>
      <c r="C90" s="7">
        <f>IFERROR(IF($B$23="","",IF((F90*1000*$B$23*$C$16)/($C$15*60)&gt;$C$14,"",(F90*1000*$B$23*$C$16)/($C$15*60))),"")</f>
        <v/>
      </c>
      <c r="D90" s="7">
        <f>IFERROR(IF($B$24="","",IF((F90*1000*$B$24*$C$16)/($C$15*60)&gt;$C$14,"",(F90*1000*$B$24*$C$16)/($C$15*60))),"")</f>
        <v/>
      </c>
      <c r="E90" s="7">
        <f>IFERROR(IF($B$25="","",IF((F90*1000*$B$25*$C$16)/($C$15*60)&gt;$C$14,"",(F90*1000*$B$25*$C$16)/($C$15*60))),"")</f>
        <v/>
      </c>
      <c r="F90" s="7">
        <f>IF($N$6-(ROW()-28)*$N$5&gt;=0,$N$6-(ROW()-28)*$N$5,"")</f>
        <v/>
      </c>
      <c r="G90" s="7">
        <f>IFERROR(IF($H$21="","",IF((F90*1000*$H$21*$I$16)/($I$15*60)&gt;$I$14,"",(F90*1000*$H$21*$I$16)/($I$15*60))),"")</f>
        <v/>
      </c>
      <c r="H90" s="7">
        <f>IFERROR(IF($H$22="","",IF((F90*1000*$H$22*$I$16)/($I$15*60)&gt;$I$14,"",(F90*1000*$H$22*$I$16)/($I$15*60))),"")</f>
        <v/>
      </c>
      <c r="I90" s="7">
        <f>IFERROR(IF($H$23="","",IF((F90*1000*$H$23*$I$16)/($I$15*60)&gt;$I$14,"",(F90*1000*$H$23*$I$16)/($I$15*60))),"")</f>
        <v/>
      </c>
      <c r="J90" s="7">
        <f>IFERROR(IF($H$24="","",IF((F90*1000*$H$24*$I$16)/($I$15*60)&gt;$I$14,"",(F90*1000*$H$24*$I$16)/($I$15*60))),"")</f>
        <v/>
      </c>
      <c r="K90" s="7">
        <f>IFERROR(IF($H$25="","",IF((F90*1000*$H$25*$I$16)/($I$15*60)&gt;$I$14,"",(F90*1000*$H$25*$I$16)/($I$15*60))),"")</f>
        <v/>
      </c>
    </row>
    <row r="91">
      <c r="A91" s="7">
        <f>IFERROR(IF($B$21="","",IF((F91*1000*$B$21*$C$16)/($C$15*60)&gt;$C$14,"",(F91*1000*$B$21*$C$16)/($C$15*60))),"")</f>
        <v/>
      </c>
      <c r="B91" s="7">
        <f>IFERROR(IF($B$22="","",IF((F91*1000*$B$22*$C$16)/($C$15*60)&gt;$C$14,"",(F91*1000*$B$22*$C$16)/($C$15*60))),"")</f>
        <v/>
      </c>
      <c r="C91" s="7">
        <f>IFERROR(IF($B$23="","",IF((F91*1000*$B$23*$C$16)/($C$15*60)&gt;$C$14,"",(F91*1000*$B$23*$C$16)/($C$15*60))),"")</f>
        <v/>
      </c>
      <c r="D91" s="7">
        <f>IFERROR(IF($B$24="","",IF((F91*1000*$B$24*$C$16)/($C$15*60)&gt;$C$14,"",(F91*1000*$B$24*$C$16)/($C$15*60))),"")</f>
        <v/>
      </c>
      <c r="E91" s="7">
        <f>IFERROR(IF($B$25="","",IF((F91*1000*$B$25*$C$16)/($C$15*60)&gt;$C$14,"",(F91*1000*$B$25*$C$16)/($C$15*60))),"")</f>
        <v/>
      </c>
      <c r="F91" s="7">
        <f>IF($N$6-(ROW()-28)*$N$5&gt;=0,$N$6-(ROW()-28)*$N$5,"")</f>
        <v/>
      </c>
      <c r="G91" s="7">
        <f>IFERROR(IF($H$21="","",IF((F91*1000*$H$21*$I$16)/($I$15*60)&gt;$I$14,"",(F91*1000*$H$21*$I$16)/($I$15*60))),"")</f>
        <v/>
      </c>
      <c r="H91" s="7">
        <f>IFERROR(IF($H$22="","",IF((F91*1000*$H$22*$I$16)/($I$15*60)&gt;$I$14,"",(F91*1000*$H$22*$I$16)/($I$15*60))),"")</f>
        <v/>
      </c>
      <c r="I91" s="7">
        <f>IFERROR(IF($H$23="","",IF((F91*1000*$H$23*$I$16)/($I$15*60)&gt;$I$14,"",(F91*1000*$H$23*$I$16)/($I$15*60))),"")</f>
        <v/>
      </c>
      <c r="J91" s="7">
        <f>IFERROR(IF($H$24="","",IF((F91*1000*$H$24*$I$16)/($I$15*60)&gt;$I$14,"",(F91*1000*$H$24*$I$16)/($I$15*60))),"")</f>
        <v/>
      </c>
      <c r="K91" s="7">
        <f>IFERROR(IF($H$25="","",IF((F91*1000*$H$25*$I$16)/($I$15*60)&gt;$I$14,"",(F91*1000*$H$25*$I$16)/($I$15*60))),"")</f>
        <v/>
      </c>
    </row>
    <row r="92">
      <c r="A92" s="7">
        <f>IFERROR(IF($B$21="","",IF((F92*1000*$B$21*$C$16)/($C$15*60)&gt;$C$14,"",(F92*1000*$B$21*$C$16)/($C$15*60))),"")</f>
        <v/>
      </c>
      <c r="B92" s="7">
        <f>IFERROR(IF($B$22="","",IF((F92*1000*$B$22*$C$16)/($C$15*60)&gt;$C$14,"",(F92*1000*$B$22*$C$16)/($C$15*60))),"")</f>
        <v/>
      </c>
      <c r="C92" s="7">
        <f>IFERROR(IF($B$23="","",IF((F92*1000*$B$23*$C$16)/($C$15*60)&gt;$C$14,"",(F92*1000*$B$23*$C$16)/($C$15*60))),"")</f>
        <v/>
      </c>
      <c r="D92" s="7">
        <f>IFERROR(IF($B$24="","",IF((F92*1000*$B$24*$C$16)/($C$15*60)&gt;$C$14,"",(F92*1000*$B$24*$C$16)/($C$15*60))),"")</f>
        <v/>
      </c>
      <c r="E92" s="7">
        <f>IFERROR(IF($B$25="","",IF((F92*1000*$B$25*$C$16)/($C$15*60)&gt;$C$14,"",(F92*1000*$B$25*$C$16)/($C$15*60))),"")</f>
        <v/>
      </c>
      <c r="F92" s="7">
        <f>IF($N$6-(ROW()-28)*$N$5&gt;=0,$N$6-(ROW()-28)*$N$5,"")</f>
        <v/>
      </c>
      <c r="G92" s="7">
        <f>IFERROR(IF($H$21="","",IF((F92*1000*$H$21*$I$16)/($I$15*60)&gt;$I$14,"",(F92*1000*$H$21*$I$16)/($I$15*60))),"")</f>
        <v/>
      </c>
      <c r="H92" s="7">
        <f>IFERROR(IF($H$22="","",IF((F92*1000*$H$22*$I$16)/($I$15*60)&gt;$I$14,"",(F92*1000*$H$22*$I$16)/($I$15*60))),"")</f>
        <v/>
      </c>
      <c r="I92" s="7">
        <f>IFERROR(IF($H$23="","",IF((F92*1000*$H$23*$I$16)/($I$15*60)&gt;$I$14,"",(F92*1000*$H$23*$I$16)/($I$15*60))),"")</f>
        <v/>
      </c>
      <c r="J92" s="7">
        <f>IFERROR(IF($H$24="","",IF((F92*1000*$H$24*$I$16)/($I$15*60)&gt;$I$14,"",(F92*1000*$H$24*$I$16)/($I$15*60))),"")</f>
        <v/>
      </c>
      <c r="K92" s="7">
        <f>IFERROR(IF($H$25="","",IF((F92*1000*$H$25*$I$16)/($I$15*60)&gt;$I$14,"",(F92*1000*$H$25*$I$16)/($I$15*60))),"")</f>
        <v/>
      </c>
    </row>
    <row r="93">
      <c r="A93" s="7">
        <f>IFERROR(IF($B$21="","",IF((F93*1000*$B$21*$C$16)/($C$15*60)&gt;$C$14,"",(F93*1000*$B$21*$C$16)/($C$15*60))),"")</f>
        <v/>
      </c>
      <c r="B93" s="7">
        <f>IFERROR(IF($B$22="","",IF((F93*1000*$B$22*$C$16)/($C$15*60)&gt;$C$14,"",(F93*1000*$B$22*$C$16)/($C$15*60))),"")</f>
        <v/>
      </c>
      <c r="C93" s="7">
        <f>IFERROR(IF($B$23="","",IF((F93*1000*$B$23*$C$16)/($C$15*60)&gt;$C$14,"",(F93*1000*$B$23*$C$16)/($C$15*60))),"")</f>
        <v/>
      </c>
      <c r="D93" s="7">
        <f>IFERROR(IF($B$24="","",IF((F93*1000*$B$24*$C$16)/($C$15*60)&gt;$C$14,"",(F93*1000*$B$24*$C$16)/($C$15*60))),"")</f>
        <v/>
      </c>
      <c r="E93" s="7">
        <f>IFERROR(IF($B$25="","",IF((F93*1000*$B$25*$C$16)/($C$15*60)&gt;$C$14,"",(F93*1000*$B$25*$C$16)/($C$15*60))),"")</f>
        <v/>
      </c>
      <c r="F93" s="7">
        <f>IF($N$6-(ROW()-28)*$N$5&gt;=0,$N$6-(ROW()-28)*$N$5,"")</f>
        <v/>
      </c>
      <c r="G93" s="7">
        <f>IFERROR(IF($H$21="","",IF((F93*1000*$H$21*$I$16)/($I$15*60)&gt;$I$14,"",(F93*1000*$H$21*$I$16)/($I$15*60))),"")</f>
        <v/>
      </c>
      <c r="H93" s="7">
        <f>IFERROR(IF($H$22="","",IF((F93*1000*$H$22*$I$16)/($I$15*60)&gt;$I$14,"",(F93*1000*$H$22*$I$16)/($I$15*60))),"")</f>
        <v/>
      </c>
      <c r="I93" s="7">
        <f>IFERROR(IF($H$23="","",IF((F93*1000*$H$23*$I$16)/($I$15*60)&gt;$I$14,"",(F93*1000*$H$23*$I$16)/($I$15*60))),"")</f>
        <v/>
      </c>
      <c r="J93" s="7">
        <f>IFERROR(IF($H$24="","",IF((F93*1000*$H$24*$I$16)/($I$15*60)&gt;$I$14,"",(F93*1000*$H$24*$I$16)/($I$15*60))),"")</f>
        <v/>
      </c>
      <c r="K93" s="7">
        <f>IFERROR(IF($H$25="","",IF((F93*1000*$H$25*$I$16)/($I$15*60)&gt;$I$14,"",(F93*1000*$H$25*$I$16)/($I$15*60))),"")</f>
        <v/>
      </c>
    </row>
    <row r="94">
      <c r="A94" s="7">
        <f>IFERROR(IF($B$21="","",IF((F94*1000*$B$21*$C$16)/($C$15*60)&gt;$C$14,"",(F94*1000*$B$21*$C$16)/($C$15*60))),"")</f>
        <v/>
      </c>
      <c r="B94" s="7">
        <f>IFERROR(IF($B$22="","",IF((F94*1000*$B$22*$C$16)/($C$15*60)&gt;$C$14,"",(F94*1000*$B$22*$C$16)/($C$15*60))),"")</f>
        <v/>
      </c>
      <c r="C94" s="7">
        <f>IFERROR(IF($B$23="","",IF((F94*1000*$B$23*$C$16)/($C$15*60)&gt;$C$14,"",(F94*1000*$B$23*$C$16)/($C$15*60))),"")</f>
        <v/>
      </c>
      <c r="D94" s="7">
        <f>IFERROR(IF($B$24="","",IF((F94*1000*$B$24*$C$16)/($C$15*60)&gt;$C$14,"",(F94*1000*$B$24*$C$16)/($C$15*60))),"")</f>
        <v/>
      </c>
      <c r="E94" s="7">
        <f>IFERROR(IF($B$25="","",IF((F94*1000*$B$25*$C$16)/($C$15*60)&gt;$C$14,"",(F94*1000*$B$25*$C$16)/($C$15*60))),"")</f>
        <v/>
      </c>
      <c r="F94" s="7">
        <f>IF($N$6-(ROW()-28)*$N$5&gt;=0,$N$6-(ROW()-28)*$N$5,"")</f>
        <v/>
      </c>
      <c r="G94" s="7">
        <f>IFERROR(IF($H$21="","",IF((F94*1000*$H$21*$I$16)/($I$15*60)&gt;$I$14,"",(F94*1000*$H$21*$I$16)/($I$15*60))),"")</f>
        <v/>
      </c>
      <c r="H94" s="7">
        <f>IFERROR(IF($H$22="","",IF((F94*1000*$H$22*$I$16)/($I$15*60)&gt;$I$14,"",(F94*1000*$H$22*$I$16)/($I$15*60))),"")</f>
        <v/>
      </c>
      <c r="I94" s="7">
        <f>IFERROR(IF($H$23="","",IF((F94*1000*$H$23*$I$16)/($I$15*60)&gt;$I$14,"",(F94*1000*$H$23*$I$16)/($I$15*60))),"")</f>
        <v/>
      </c>
      <c r="J94" s="7">
        <f>IFERROR(IF($H$24="","",IF((F94*1000*$H$24*$I$16)/($I$15*60)&gt;$I$14,"",(F94*1000*$H$24*$I$16)/($I$15*60))),"")</f>
        <v/>
      </c>
      <c r="K94" s="7">
        <f>IFERROR(IF($H$25="","",IF((F94*1000*$H$25*$I$16)/($I$15*60)&gt;$I$14,"",(F94*1000*$H$25*$I$16)/($I$15*60))),"")</f>
        <v/>
      </c>
    </row>
    <row r="95">
      <c r="A95" s="7">
        <f>IFERROR(IF($B$21="","",IF((F95*1000*$B$21*$C$16)/($C$15*60)&gt;$C$14,"",(F95*1000*$B$21*$C$16)/($C$15*60))),"")</f>
        <v/>
      </c>
      <c r="B95" s="7">
        <f>IFERROR(IF($B$22="","",IF((F95*1000*$B$22*$C$16)/($C$15*60)&gt;$C$14,"",(F95*1000*$B$22*$C$16)/($C$15*60))),"")</f>
        <v/>
      </c>
      <c r="C95" s="7">
        <f>IFERROR(IF($B$23="","",IF((F95*1000*$B$23*$C$16)/($C$15*60)&gt;$C$14,"",(F95*1000*$B$23*$C$16)/($C$15*60))),"")</f>
        <v/>
      </c>
      <c r="D95" s="7">
        <f>IFERROR(IF($B$24="","",IF((F95*1000*$B$24*$C$16)/($C$15*60)&gt;$C$14,"",(F95*1000*$B$24*$C$16)/($C$15*60))),"")</f>
        <v/>
      </c>
      <c r="E95" s="7">
        <f>IFERROR(IF($B$25="","",IF((F95*1000*$B$25*$C$16)/($C$15*60)&gt;$C$14,"",(F95*1000*$B$25*$C$16)/($C$15*60))),"")</f>
        <v/>
      </c>
      <c r="F95" s="7">
        <f>IF($N$6-(ROW()-28)*$N$5&gt;=0,$N$6-(ROW()-28)*$N$5,"")</f>
        <v/>
      </c>
      <c r="G95" s="7">
        <f>IFERROR(IF($H$21="","",IF((F95*1000*$H$21*$I$16)/($I$15*60)&gt;$I$14,"",(F95*1000*$H$21*$I$16)/($I$15*60))),"")</f>
        <v/>
      </c>
      <c r="H95" s="7">
        <f>IFERROR(IF($H$22="","",IF((F95*1000*$H$22*$I$16)/($I$15*60)&gt;$I$14,"",(F95*1000*$H$22*$I$16)/($I$15*60))),"")</f>
        <v/>
      </c>
      <c r="I95" s="7">
        <f>IFERROR(IF($H$23="","",IF((F95*1000*$H$23*$I$16)/($I$15*60)&gt;$I$14,"",(F95*1000*$H$23*$I$16)/($I$15*60))),"")</f>
        <v/>
      </c>
      <c r="J95" s="7">
        <f>IFERROR(IF($H$24="","",IF((F95*1000*$H$24*$I$16)/($I$15*60)&gt;$I$14,"",(F95*1000*$H$24*$I$16)/($I$15*60))),"")</f>
        <v/>
      </c>
      <c r="K95" s="7">
        <f>IFERROR(IF($H$25="","",IF((F95*1000*$H$25*$I$16)/($I$15*60)&gt;$I$14,"",(F95*1000*$H$25*$I$16)/($I$15*60))),"")</f>
        <v/>
      </c>
    </row>
    <row r="96">
      <c r="A96" s="7">
        <f>IFERROR(IF($B$21="","",IF((F96*1000*$B$21*$C$16)/($C$15*60)&gt;$C$14,"",(F96*1000*$B$21*$C$16)/($C$15*60))),"")</f>
        <v/>
      </c>
      <c r="B96" s="7">
        <f>IFERROR(IF($B$22="","",IF((F96*1000*$B$22*$C$16)/($C$15*60)&gt;$C$14,"",(F96*1000*$B$22*$C$16)/($C$15*60))),"")</f>
        <v/>
      </c>
      <c r="C96" s="7">
        <f>IFERROR(IF($B$23="","",IF((F96*1000*$B$23*$C$16)/($C$15*60)&gt;$C$14,"",(F96*1000*$B$23*$C$16)/($C$15*60))),"")</f>
        <v/>
      </c>
      <c r="D96" s="7">
        <f>IFERROR(IF($B$24="","",IF((F96*1000*$B$24*$C$16)/($C$15*60)&gt;$C$14,"",(F96*1000*$B$24*$C$16)/($C$15*60))),"")</f>
        <v/>
      </c>
      <c r="E96" s="7">
        <f>IFERROR(IF($B$25="","",IF((F96*1000*$B$25*$C$16)/($C$15*60)&gt;$C$14,"",(F96*1000*$B$25*$C$16)/($C$15*60))),"")</f>
        <v/>
      </c>
      <c r="F96" s="7">
        <f>IF($N$6-(ROW()-28)*$N$5&gt;=0,$N$6-(ROW()-28)*$N$5,"")</f>
        <v/>
      </c>
      <c r="G96" s="7">
        <f>IFERROR(IF($H$21="","",IF((F96*1000*$H$21*$I$16)/($I$15*60)&gt;$I$14,"",(F96*1000*$H$21*$I$16)/($I$15*60))),"")</f>
        <v/>
      </c>
      <c r="H96" s="7">
        <f>IFERROR(IF($H$22="","",IF((F96*1000*$H$22*$I$16)/($I$15*60)&gt;$I$14,"",(F96*1000*$H$22*$I$16)/($I$15*60))),"")</f>
        <v/>
      </c>
      <c r="I96" s="7">
        <f>IFERROR(IF($H$23="","",IF((F96*1000*$H$23*$I$16)/($I$15*60)&gt;$I$14,"",(F96*1000*$H$23*$I$16)/($I$15*60))),"")</f>
        <v/>
      </c>
      <c r="J96" s="7">
        <f>IFERROR(IF($H$24="","",IF((F96*1000*$H$24*$I$16)/($I$15*60)&gt;$I$14,"",(F96*1000*$H$24*$I$16)/($I$15*60))),"")</f>
        <v/>
      </c>
      <c r="K96" s="7">
        <f>IFERROR(IF($H$25="","",IF((F96*1000*$H$25*$I$16)/($I$15*60)&gt;$I$14,"",(F96*1000*$H$25*$I$16)/($I$15*60))),"")</f>
        <v/>
      </c>
    </row>
    <row r="97">
      <c r="A97" s="7">
        <f>IFERROR(IF($B$21="","",IF((F97*1000*$B$21*$C$16)/($C$15*60)&gt;$C$14,"",(F97*1000*$B$21*$C$16)/($C$15*60))),"")</f>
        <v/>
      </c>
      <c r="B97" s="7">
        <f>IFERROR(IF($B$22="","",IF((F97*1000*$B$22*$C$16)/($C$15*60)&gt;$C$14,"",(F97*1000*$B$22*$C$16)/($C$15*60))),"")</f>
        <v/>
      </c>
      <c r="C97" s="7">
        <f>IFERROR(IF($B$23="","",IF((F97*1000*$B$23*$C$16)/($C$15*60)&gt;$C$14,"",(F97*1000*$B$23*$C$16)/($C$15*60))),"")</f>
        <v/>
      </c>
      <c r="D97" s="7">
        <f>IFERROR(IF($B$24="","",IF((F97*1000*$B$24*$C$16)/($C$15*60)&gt;$C$14,"",(F97*1000*$B$24*$C$16)/($C$15*60))),"")</f>
        <v/>
      </c>
      <c r="E97" s="7">
        <f>IFERROR(IF($B$25="","",IF((F97*1000*$B$25*$C$16)/($C$15*60)&gt;$C$14,"",(F97*1000*$B$25*$C$16)/($C$15*60))),"")</f>
        <v/>
      </c>
      <c r="F97" s="7">
        <f>IF($N$6-(ROW()-28)*$N$5&gt;=0,$N$6-(ROW()-28)*$N$5,"")</f>
        <v/>
      </c>
      <c r="G97" s="7">
        <f>IFERROR(IF($H$21="","",IF((F97*1000*$H$21*$I$16)/($I$15*60)&gt;$I$14,"",(F97*1000*$H$21*$I$16)/($I$15*60))),"")</f>
        <v/>
      </c>
      <c r="H97" s="7">
        <f>IFERROR(IF($H$22="","",IF((F97*1000*$H$22*$I$16)/($I$15*60)&gt;$I$14,"",(F97*1000*$H$22*$I$16)/($I$15*60))),"")</f>
        <v/>
      </c>
      <c r="I97" s="7">
        <f>IFERROR(IF($H$23="","",IF((F97*1000*$H$23*$I$16)/($I$15*60)&gt;$I$14,"",(F97*1000*$H$23*$I$16)/($I$15*60))),"")</f>
        <v/>
      </c>
      <c r="J97" s="7">
        <f>IFERROR(IF($H$24="","",IF((F97*1000*$H$24*$I$16)/($I$15*60)&gt;$I$14,"",(F97*1000*$H$24*$I$16)/($I$15*60))),"")</f>
        <v/>
      </c>
      <c r="K97" s="7">
        <f>IFERROR(IF($H$25="","",IF((F97*1000*$H$25*$I$16)/($I$15*60)&gt;$I$14,"",(F97*1000*$H$25*$I$16)/($I$15*60))),"")</f>
        <v/>
      </c>
    </row>
    <row r="98">
      <c r="A98" s="7">
        <f>IFERROR(IF($B$21="","",IF((F98*1000*$B$21*$C$16)/($C$15*60)&gt;$C$14,"",(F98*1000*$B$21*$C$16)/($C$15*60))),"")</f>
        <v/>
      </c>
      <c r="B98" s="7">
        <f>IFERROR(IF($B$22="","",IF((F98*1000*$B$22*$C$16)/($C$15*60)&gt;$C$14,"",(F98*1000*$B$22*$C$16)/($C$15*60))),"")</f>
        <v/>
      </c>
      <c r="C98" s="7">
        <f>IFERROR(IF($B$23="","",IF((F98*1000*$B$23*$C$16)/($C$15*60)&gt;$C$14,"",(F98*1000*$B$23*$C$16)/($C$15*60))),"")</f>
        <v/>
      </c>
      <c r="D98" s="7">
        <f>IFERROR(IF($B$24="","",IF((F98*1000*$B$24*$C$16)/($C$15*60)&gt;$C$14,"",(F98*1000*$B$24*$C$16)/($C$15*60))),"")</f>
        <v/>
      </c>
      <c r="E98" s="7">
        <f>IFERROR(IF($B$25="","",IF((F98*1000*$B$25*$C$16)/($C$15*60)&gt;$C$14,"",(F98*1000*$B$25*$C$16)/($C$15*60))),"")</f>
        <v/>
      </c>
      <c r="F98" s="7">
        <f>IF($N$6-(ROW()-28)*$N$5&gt;=0,$N$6-(ROW()-28)*$N$5,"")</f>
        <v/>
      </c>
      <c r="G98" s="7">
        <f>IFERROR(IF($H$21="","",IF((F98*1000*$H$21*$I$16)/($I$15*60)&gt;$I$14,"",(F98*1000*$H$21*$I$16)/($I$15*60))),"")</f>
        <v/>
      </c>
      <c r="H98" s="7">
        <f>IFERROR(IF($H$22="","",IF((F98*1000*$H$22*$I$16)/($I$15*60)&gt;$I$14,"",(F98*1000*$H$22*$I$16)/($I$15*60))),"")</f>
        <v/>
      </c>
      <c r="I98" s="7">
        <f>IFERROR(IF($H$23="","",IF((F98*1000*$H$23*$I$16)/($I$15*60)&gt;$I$14,"",(F98*1000*$H$23*$I$16)/($I$15*60))),"")</f>
        <v/>
      </c>
      <c r="J98" s="7">
        <f>IFERROR(IF($H$24="","",IF((F98*1000*$H$24*$I$16)/($I$15*60)&gt;$I$14,"",(F98*1000*$H$24*$I$16)/($I$15*60))),"")</f>
        <v/>
      </c>
      <c r="K98" s="7">
        <f>IFERROR(IF($H$25="","",IF((F98*1000*$H$25*$I$16)/($I$15*60)&gt;$I$14,"",(F98*1000*$H$25*$I$16)/($I$15*60))),"")</f>
        <v/>
      </c>
    </row>
    <row r="99">
      <c r="A99" s="7">
        <f>IFERROR(IF($B$21="","",IF((F99*1000*$B$21*$C$16)/($C$15*60)&gt;$C$14,"",(F99*1000*$B$21*$C$16)/($C$15*60))),"")</f>
        <v/>
      </c>
      <c r="B99" s="7">
        <f>IFERROR(IF($B$22="","",IF((F99*1000*$B$22*$C$16)/($C$15*60)&gt;$C$14,"",(F99*1000*$B$22*$C$16)/($C$15*60))),"")</f>
        <v/>
      </c>
      <c r="C99" s="7">
        <f>IFERROR(IF($B$23="","",IF((F99*1000*$B$23*$C$16)/($C$15*60)&gt;$C$14,"",(F99*1000*$B$23*$C$16)/($C$15*60))),"")</f>
        <v/>
      </c>
      <c r="D99" s="7">
        <f>IFERROR(IF($B$24="","",IF((F99*1000*$B$24*$C$16)/($C$15*60)&gt;$C$14,"",(F99*1000*$B$24*$C$16)/($C$15*60))),"")</f>
        <v/>
      </c>
      <c r="E99" s="7">
        <f>IFERROR(IF($B$25="","",IF((F99*1000*$B$25*$C$16)/($C$15*60)&gt;$C$14,"",(F99*1000*$B$25*$C$16)/($C$15*60))),"")</f>
        <v/>
      </c>
      <c r="F99" s="7">
        <f>IF($N$6-(ROW()-28)*$N$5&gt;=0,$N$6-(ROW()-28)*$N$5,"")</f>
        <v/>
      </c>
      <c r="G99" s="7">
        <f>IFERROR(IF($H$21="","",IF((F99*1000*$H$21*$I$16)/($I$15*60)&gt;$I$14,"",(F99*1000*$H$21*$I$16)/($I$15*60))),"")</f>
        <v/>
      </c>
      <c r="H99" s="7">
        <f>IFERROR(IF($H$22="","",IF((F99*1000*$H$22*$I$16)/($I$15*60)&gt;$I$14,"",(F99*1000*$H$22*$I$16)/($I$15*60))),"")</f>
        <v/>
      </c>
      <c r="I99" s="7">
        <f>IFERROR(IF($H$23="","",IF((F99*1000*$H$23*$I$16)/($I$15*60)&gt;$I$14,"",(F99*1000*$H$23*$I$16)/($I$15*60))),"")</f>
        <v/>
      </c>
      <c r="J99" s="7">
        <f>IFERROR(IF($H$24="","",IF((F99*1000*$H$24*$I$16)/($I$15*60)&gt;$I$14,"",(F99*1000*$H$24*$I$16)/($I$15*60))),"")</f>
        <v/>
      </c>
      <c r="K99" s="7">
        <f>IFERROR(IF($H$25="","",IF((F99*1000*$H$25*$I$16)/($I$15*60)&gt;$I$14,"",(F99*1000*$H$25*$I$16)/($I$15*60))),"")</f>
        <v/>
      </c>
    </row>
    <row r="100">
      <c r="A100" s="7">
        <f>IFERROR(IF($B$21="","",IF((F100*1000*$B$21*$C$16)/($C$15*60)&gt;$C$14,"",(F100*1000*$B$21*$C$16)/($C$15*60))),"")</f>
        <v/>
      </c>
      <c r="B100" s="7">
        <f>IFERROR(IF($B$22="","",IF((F100*1000*$B$22*$C$16)/($C$15*60)&gt;$C$14,"",(F100*1000*$B$22*$C$16)/($C$15*60))),"")</f>
        <v/>
      </c>
      <c r="C100" s="7">
        <f>IFERROR(IF($B$23="","",IF((F100*1000*$B$23*$C$16)/($C$15*60)&gt;$C$14,"",(F100*1000*$B$23*$C$16)/($C$15*60))),"")</f>
        <v/>
      </c>
      <c r="D100" s="7">
        <f>IFERROR(IF($B$24="","",IF((F100*1000*$B$24*$C$16)/($C$15*60)&gt;$C$14,"",(F100*1000*$B$24*$C$16)/($C$15*60))),"")</f>
        <v/>
      </c>
      <c r="E100" s="7">
        <f>IFERROR(IF($B$25="","",IF((F100*1000*$B$25*$C$16)/($C$15*60)&gt;$C$14,"",(F100*1000*$B$25*$C$16)/($C$15*60))),"")</f>
        <v/>
      </c>
      <c r="F100" s="7">
        <f>IF($N$6-(ROW()-28)*$N$5&gt;=0,$N$6-(ROW()-28)*$N$5,"")</f>
        <v/>
      </c>
      <c r="G100" s="7">
        <f>IFERROR(IF($H$21="","",IF((F100*1000*$H$21*$I$16)/($I$15*60)&gt;$I$14,"",(F100*1000*$H$21*$I$16)/($I$15*60))),"")</f>
        <v/>
      </c>
      <c r="H100" s="7">
        <f>IFERROR(IF($H$22="","",IF((F100*1000*$H$22*$I$16)/($I$15*60)&gt;$I$14,"",(F100*1000*$H$22*$I$16)/($I$15*60))),"")</f>
        <v/>
      </c>
      <c r="I100" s="7">
        <f>IFERROR(IF($H$23="","",IF((F100*1000*$H$23*$I$16)/($I$15*60)&gt;$I$14,"",(F100*1000*$H$23*$I$16)/($I$15*60))),"")</f>
        <v/>
      </c>
      <c r="J100" s="7">
        <f>IFERROR(IF($H$24="","",IF((F100*1000*$H$24*$I$16)/($I$15*60)&gt;$I$14,"",(F100*1000*$H$24*$I$16)/($I$15*60))),"")</f>
        <v/>
      </c>
      <c r="K100" s="7">
        <f>IFERROR(IF($H$25="","",IF((F100*1000*$H$25*$I$16)/($I$15*60)&gt;$I$14,"",(F100*1000*$H$25*$I$16)/($I$15*60))),"")</f>
        <v/>
      </c>
    </row>
    <row r="101">
      <c r="A101" s="7">
        <f>IFERROR(IF($B$21="","",IF((F101*1000*$B$21*$C$16)/($C$15*60)&gt;$C$14,"",(F101*1000*$B$21*$C$16)/($C$15*60))),"")</f>
        <v/>
      </c>
      <c r="B101" s="7">
        <f>IFERROR(IF($B$22="","",IF((F101*1000*$B$22*$C$16)/($C$15*60)&gt;$C$14,"",(F101*1000*$B$22*$C$16)/($C$15*60))),"")</f>
        <v/>
      </c>
      <c r="C101" s="7">
        <f>IFERROR(IF($B$23="","",IF((F101*1000*$B$23*$C$16)/($C$15*60)&gt;$C$14,"",(F101*1000*$B$23*$C$16)/($C$15*60))),"")</f>
        <v/>
      </c>
      <c r="D101" s="7">
        <f>IFERROR(IF($B$24="","",IF((F101*1000*$B$24*$C$16)/($C$15*60)&gt;$C$14,"",(F101*1000*$B$24*$C$16)/($C$15*60))),"")</f>
        <v/>
      </c>
      <c r="E101" s="7">
        <f>IFERROR(IF($B$25="","",IF((F101*1000*$B$25*$C$16)/($C$15*60)&gt;$C$14,"",(F101*1000*$B$25*$C$16)/($C$15*60))),"")</f>
        <v/>
      </c>
      <c r="F101" s="7">
        <f>IF($N$6-(ROW()-28)*$N$5&gt;=0,$N$6-(ROW()-28)*$N$5,"")</f>
        <v/>
      </c>
      <c r="G101" s="7">
        <f>IFERROR(IF($H$21="","",IF((F101*1000*$H$21*$I$16)/($I$15*60)&gt;$I$14,"",(F101*1000*$H$21*$I$16)/($I$15*60))),"")</f>
        <v/>
      </c>
      <c r="H101" s="7">
        <f>IFERROR(IF($H$22="","",IF((F101*1000*$H$22*$I$16)/($I$15*60)&gt;$I$14,"",(F101*1000*$H$22*$I$16)/($I$15*60))),"")</f>
        <v/>
      </c>
      <c r="I101" s="7">
        <f>IFERROR(IF($H$23="","",IF((F101*1000*$H$23*$I$16)/($I$15*60)&gt;$I$14,"",(F101*1000*$H$23*$I$16)/($I$15*60))),"")</f>
        <v/>
      </c>
      <c r="J101" s="7">
        <f>IFERROR(IF($H$24="","",IF((F101*1000*$H$24*$I$16)/($I$15*60)&gt;$I$14,"",(F101*1000*$H$24*$I$16)/($I$15*60))),"")</f>
        <v/>
      </c>
      <c r="K101" s="7">
        <f>IFERROR(IF($H$25="","",IF((F101*1000*$H$25*$I$16)/($I$15*60)&gt;$I$14,"",(F101*1000*$H$25*$I$16)/($I$15*60))),"")</f>
        <v/>
      </c>
    </row>
    <row r="102">
      <c r="A102" s="7">
        <f>IFERROR(IF($B$21="","",IF((F102*1000*$B$21*$C$16)/($C$15*60)&gt;$C$14,"",(F102*1000*$B$21*$C$16)/($C$15*60))),"")</f>
        <v/>
      </c>
      <c r="B102" s="7">
        <f>IFERROR(IF($B$22="","",IF((F102*1000*$B$22*$C$16)/($C$15*60)&gt;$C$14,"",(F102*1000*$B$22*$C$16)/($C$15*60))),"")</f>
        <v/>
      </c>
      <c r="C102" s="7">
        <f>IFERROR(IF($B$23="","",IF((F102*1000*$B$23*$C$16)/($C$15*60)&gt;$C$14,"",(F102*1000*$B$23*$C$16)/($C$15*60))),"")</f>
        <v/>
      </c>
      <c r="D102" s="7">
        <f>IFERROR(IF($B$24="","",IF((F102*1000*$B$24*$C$16)/($C$15*60)&gt;$C$14,"",(F102*1000*$B$24*$C$16)/($C$15*60))),"")</f>
        <v/>
      </c>
      <c r="E102" s="7">
        <f>IFERROR(IF($B$25="","",IF((F102*1000*$B$25*$C$16)/($C$15*60)&gt;$C$14,"",(F102*1000*$B$25*$C$16)/($C$15*60))),"")</f>
        <v/>
      </c>
      <c r="F102" s="7">
        <f>IF($N$6-(ROW()-28)*$N$5&gt;=0,$N$6-(ROW()-28)*$N$5,"")</f>
        <v/>
      </c>
      <c r="G102" s="7">
        <f>IFERROR(IF($H$21="","",IF((F102*1000*$H$21*$I$16)/($I$15*60)&gt;$I$14,"",(F102*1000*$H$21*$I$16)/($I$15*60))),"")</f>
        <v/>
      </c>
      <c r="H102" s="7">
        <f>IFERROR(IF($H$22="","",IF((F102*1000*$H$22*$I$16)/($I$15*60)&gt;$I$14,"",(F102*1000*$H$22*$I$16)/($I$15*60))),"")</f>
        <v/>
      </c>
      <c r="I102" s="7">
        <f>IFERROR(IF($H$23="","",IF((F102*1000*$H$23*$I$16)/($I$15*60)&gt;$I$14,"",(F102*1000*$H$23*$I$16)/($I$15*60))),"")</f>
        <v/>
      </c>
      <c r="J102" s="7">
        <f>IFERROR(IF($H$24="","",IF((F102*1000*$H$24*$I$16)/($I$15*60)&gt;$I$14,"",(F102*1000*$H$24*$I$16)/($I$15*60))),"")</f>
        <v/>
      </c>
      <c r="K102" s="7">
        <f>IFERROR(IF($H$25="","",IF((F102*1000*$H$25*$I$16)/($I$15*60)&gt;$I$14,"",(F102*1000*$H$25*$I$16)/($I$15*60))),"")</f>
        <v/>
      </c>
    </row>
    <row r="103">
      <c r="A103" s="7">
        <f>IFERROR(IF($B$21="","",IF((F103*1000*$B$21*$C$16)/($C$15*60)&gt;$C$14,"",(F103*1000*$B$21*$C$16)/($C$15*60))),"")</f>
        <v/>
      </c>
      <c r="B103" s="7">
        <f>IFERROR(IF($B$22="","",IF((F103*1000*$B$22*$C$16)/($C$15*60)&gt;$C$14,"",(F103*1000*$B$22*$C$16)/($C$15*60))),"")</f>
        <v/>
      </c>
      <c r="C103" s="7">
        <f>IFERROR(IF($B$23="","",IF((F103*1000*$B$23*$C$16)/($C$15*60)&gt;$C$14,"",(F103*1000*$B$23*$C$16)/($C$15*60))),"")</f>
        <v/>
      </c>
      <c r="D103" s="7">
        <f>IFERROR(IF($B$24="","",IF((F103*1000*$B$24*$C$16)/($C$15*60)&gt;$C$14,"",(F103*1000*$B$24*$C$16)/($C$15*60))),"")</f>
        <v/>
      </c>
      <c r="E103" s="7">
        <f>IFERROR(IF($B$25="","",IF((F103*1000*$B$25*$C$16)/($C$15*60)&gt;$C$14,"",(F103*1000*$B$25*$C$16)/($C$15*60))),"")</f>
        <v/>
      </c>
      <c r="F103" s="7">
        <f>IF($N$6-(ROW()-28)*$N$5&gt;=0,$N$6-(ROW()-28)*$N$5,"")</f>
        <v/>
      </c>
      <c r="G103" s="7">
        <f>IFERROR(IF($H$21="","",IF((F103*1000*$H$21*$I$16)/($I$15*60)&gt;$I$14,"",(F103*1000*$H$21*$I$16)/($I$15*60))),"")</f>
        <v/>
      </c>
      <c r="H103" s="7">
        <f>IFERROR(IF($H$22="","",IF((F103*1000*$H$22*$I$16)/($I$15*60)&gt;$I$14,"",(F103*1000*$H$22*$I$16)/($I$15*60))),"")</f>
        <v/>
      </c>
      <c r="I103" s="7">
        <f>IFERROR(IF($H$23="","",IF((F103*1000*$H$23*$I$16)/($I$15*60)&gt;$I$14,"",(F103*1000*$H$23*$I$16)/($I$15*60))),"")</f>
        <v/>
      </c>
      <c r="J103" s="7">
        <f>IFERROR(IF($H$24="","",IF((F103*1000*$H$24*$I$16)/($I$15*60)&gt;$I$14,"",(F103*1000*$H$24*$I$16)/($I$15*60))),"")</f>
        <v/>
      </c>
      <c r="K103" s="7">
        <f>IFERROR(IF($H$25="","",IF((F103*1000*$H$25*$I$16)/($I$15*60)&gt;$I$14,"",(F103*1000*$H$25*$I$16)/($I$15*60))),"")</f>
        <v/>
      </c>
    </row>
    <row r="104">
      <c r="A104" s="7">
        <f>IFERROR(IF($B$21="","",IF((F104*1000*$B$21*$C$16)/($C$15*60)&gt;$C$14,"",(F104*1000*$B$21*$C$16)/($C$15*60))),"")</f>
        <v/>
      </c>
      <c r="B104" s="7">
        <f>IFERROR(IF($B$22="","",IF((F104*1000*$B$22*$C$16)/($C$15*60)&gt;$C$14,"",(F104*1000*$B$22*$C$16)/($C$15*60))),"")</f>
        <v/>
      </c>
      <c r="C104" s="7">
        <f>IFERROR(IF($B$23="","",IF((F104*1000*$B$23*$C$16)/($C$15*60)&gt;$C$14,"",(F104*1000*$B$23*$C$16)/($C$15*60))),"")</f>
        <v/>
      </c>
      <c r="D104" s="7">
        <f>IFERROR(IF($B$24="","",IF((F104*1000*$B$24*$C$16)/($C$15*60)&gt;$C$14,"",(F104*1000*$B$24*$C$16)/($C$15*60))),"")</f>
        <v/>
      </c>
      <c r="E104" s="7">
        <f>IFERROR(IF($B$25="","",IF((F104*1000*$B$25*$C$16)/($C$15*60)&gt;$C$14,"",(F104*1000*$B$25*$C$16)/($C$15*60))),"")</f>
        <v/>
      </c>
      <c r="F104" s="7">
        <f>IF($N$6-(ROW()-28)*$N$5&gt;=0,$N$6-(ROW()-28)*$N$5,"")</f>
        <v/>
      </c>
      <c r="G104" s="7">
        <f>IFERROR(IF($H$21="","",IF((F104*1000*$H$21*$I$16)/($I$15*60)&gt;$I$14,"",(F104*1000*$H$21*$I$16)/($I$15*60))),"")</f>
        <v/>
      </c>
      <c r="H104" s="7">
        <f>IFERROR(IF($H$22="","",IF((F104*1000*$H$22*$I$16)/($I$15*60)&gt;$I$14,"",(F104*1000*$H$22*$I$16)/($I$15*60))),"")</f>
        <v/>
      </c>
      <c r="I104" s="7">
        <f>IFERROR(IF($H$23="","",IF((F104*1000*$H$23*$I$16)/($I$15*60)&gt;$I$14,"",(F104*1000*$H$23*$I$16)/($I$15*60))),"")</f>
        <v/>
      </c>
      <c r="J104" s="7">
        <f>IFERROR(IF($H$24="","",IF((F104*1000*$H$24*$I$16)/($I$15*60)&gt;$I$14,"",(F104*1000*$H$24*$I$16)/($I$15*60))),"")</f>
        <v/>
      </c>
      <c r="K104" s="7">
        <f>IFERROR(IF($H$25="","",IF((F104*1000*$H$25*$I$16)/($I$15*60)&gt;$I$14,"",(F104*1000*$H$25*$I$16)/($I$15*60))),"")</f>
        <v/>
      </c>
    </row>
    <row r="105">
      <c r="A105" s="7">
        <f>IFERROR(IF($B$21="","",IF((F105*1000*$B$21*$C$16)/($C$15*60)&gt;$C$14,"",(F105*1000*$B$21*$C$16)/($C$15*60))),"")</f>
        <v/>
      </c>
      <c r="B105" s="7">
        <f>IFERROR(IF($B$22="","",IF((F105*1000*$B$22*$C$16)/($C$15*60)&gt;$C$14,"",(F105*1000*$B$22*$C$16)/($C$15*60))),"")</f>
        <v/>
      </c>
      <c r="C105" s="7">
        <f>IFERROR(IF($B$23="","",IF((F105*1000*$B$23*$C$16)/($C$15*60)&gt;$C$14,"",(F105*1000*$B$23*$C$16)/($C$15*60))),"")</f>
        <v/>
      </c>
      <c r="D105" s="7">
        <f>IFERROR(IF($B$24="","",IF((F105*1000*$B$24*$C$16)/($C$15*60)&gt;$C$14,"",(F105*1000*$B$24*$C$16)/($C$15*60))),"")</f>
        <v/>
      </c>
      <c r="E105" s="7">
        <f>IFERROR(IF($B$25="","",IF((F105*1000*$B$25*$C$16)/($C$15*60)&gt;$C$14,"",(F105*1000*$B$25*$C$16)/($C$15*60))),"")</f>
        <v/>
      </c>
      <c r="F105" s="7">
        <f>IF($N$6-(ROW()-28)*$N$5&gt;=0,$N$6-(ROW()-28)*$N$5,"")</f>
        <v/>
      </c>
      <c r="G105" s="7">
        <f>IFERROR(IF($H$21="","",IF((F105*1000*$H$21*$I$16)/($I$15*60)&gt;$I$14,"",(F105*1000*$H$21*$I$16)/($I$15*60))),"")</f>
        <v/>
      </c>
      <c r="H105" s="7">
        <f>IFERROR(IF($H$22="","",IF((F105*1000*$H$22*$I$16)/($I$15*60)&gt;$I$14,"",(F105*1000*$H$22*$I$16)/($I$15*60))),"")</f>
        <v/>
      </c>
      <c r="I105" s="7">
        <f>IFERROR(IF($H$23="","",IF((F105*1000*$H$23*$I$16)/($I$15*60)&gt;$I$14,"",(F105*1000*$H$23*$I$16)/($I$15*60))),"")</f>
        <v/>
      </c>
      <c r="J105" s="7">
        <f>IFERROR(IF($H$24="","",IF((F105*1000*$H$24*$I$16)/($I$15*60)&gt;$I$14,"",(F105*1000*$H$24*$I$16)/($I$15*60))),"")</f>
        <v/>
      </c>
      <c r="K105" s="7">
        <f>IFERROR(IF($H$25="","",IF((F105*1000*$H$25*$I$16)/($I$15*60)&gt;$I$14,"",(F105*1000*$H$25*$I$16)/($I$15*60))),"")</f>
        <v/>
      </c>
    </row>
    <row r="106">
      <c r="A106" s="7">
        <f>IFERROR(IF($B$21="","",IF((F106*1000*$B$21*$C$16)/($C$15*60)&gt;$C$14,"",(F106*1000*$B$21*$C$16)/($C$15*60))),"")</f>
        <v/>
      </c>
      <c r="B106" s="7">
        <f>IFERROR(IF($B$22="","",IF((F106*1000*$B$22*$C$16)/($C$15*60)&gt;$C$14,"",(F106*1000*$B$22*$C$16)/($C$15*60))),"")</f>
        <v/>
      </c>
      <c r="C106" s="7">
        <f>IFERROR(IF($B$23="","",IF((F106*1000*$B$23*$C$16)/($C$15*60)&gt;$C$14,"",(F106*1000*$B$23*$C$16)/($C$15*60))),"")</f>
        <v/>
      </c>
      <c r="D106" s="7">
        <f>IFERROR(IF($B$24="","",IF((F106*1000*$B$24*$C$16)/($C$15*60)&gt;$C$14,"",(F106*1000*$B$24*$C$16)/($C$15*60))),"")</f>
        <v/>
      </c>
      <c r="E106" s="7">
        <f>IFERROR(IF($B$25="","",IF((F106*1000*$B$25*$C$16)/($C$15*60)&gt;$C$14,"",(F106*1000*$B$25*$C$16)/($C$15*60))),"")</f>
        <v/>
      </c>
      <c r="F106" s="7">
        <f>IF($N$6-(ROW()-28)*$N$5&gt;=0,$N$6-(ROW()-28)*$N$5,"")</f>
        <v/>
      </c>
      <c r="G106" s="7">
        <f>IFERROR(IF($H$21="","",IF((F106*1000*$H$21*$I$16)/($I$15*60)&gt;$I$14,"",(F106*1000*$H$21*$I$16)/($I$15*60))),"")</f>
        <v/>
      </c>
      <c r="H106" s="7">
        <f>IFERROR(IF($H$22="","",IF((F106*1000*$H$22*$I$16)/($I$15*60)&gt;$I$14,"",(F106*1000*$H$22*$I$16)/($I$15*60))),"")</f>
        <v/>
      </c>
      <c r="I106" s="7">
        <f>IFERROR(IF($H$23="","",IF((F106*1000*$H$23*$I$16)/($I$15*60)&gt;$I$14,"",(F106*1000*$H$23*$I$16)/($I$15*60))),"")</f>
        <v/>
      </c>
      <c r="J106" s="7">
        <f>IFERROR(IF($H$24="","",IF((F106*1000*$H$24*$I$16)/($I$15*60)&gt;$I$14,"",(F106*1000*$H$24*$I$16)/($I$15*60))),"")</f>
        <v/>
      </c>
      <c r="K106" s="7">
        <f>IFERROR(IF($H$25="","",IF((F106*1000*$H$25*$I$16)/($I$15*60)&gt;$I$14,"",(F106*1000*$H$25*$I$16)/($I$15*60))),"")</f>
        <v/>
      </c>
    </row>
    <row r="107">
      <c r="A107" s="7">
        <f>IFERROR(IF($B$21="","",IF((F107*1000*$B$21*$C$16)/($C$15*60)&gt;$C$14,"",(F107*1000*$B$21*$C$16)/($C$15*60))),"")</f>
        <v/>
      </c>
      <c r="B107" s="7">
        <f>IFERROR(IF($B$22="","",IF((F107*1000*$B$22*$C$16)/($C$15*60)&gt;$C$14,"",(F107*1000*$B$22*$C$16)/($C$15*60))),"")</f>
        <v/>
      </c>
      <c r="C107" s="7">
        <f>IFERROR(IF($B$23="","",IF((F107*1000*$B$23*$C$16)/($C$15*60)&gt;$C$14,"",(F107*1000*$B$23*$C$16)/($C$15*60))),"")</f>
        <v/>
      </c>
      <c r="D107" s="7">
        <f>IFERROR(IF($B$24="","",IF((F107*1000*$B$24*$C$16)/($C$15*60)&gt;$C$14,"",(F107*1000*$B$24*$C$16)/($C$15*60))),"")</f>
        <v/>
      </c>
      <c r="E107" s="7">
        <f>IFERROR(IF($B$25="","",IF((F107*1000*$B$25*$C$16)/($C$15*60)&gt;$C$14,"",(F107*1000*$B$25*$C$16)/($C$15*60))),"")</f>
        <v/>
      </c>
      <c r="F107" s="7">
        <f>IF($N$6-(ROW()-28)*$N$5&gt;=0,$N$6-(ROW()-28)*$N$5,"")</f>
        <v/>
      </c>
      <c r="G107" s="7">
        <f>IFERROR(IF($H$21="","",IF((F107*1000*$H$21*$I$16)/($I$15*60)&gt;$I$14,"",(F107*1000*$H$21*$I$16)/($I$15*60))),"")</f>
        <v/>
      </c>
      <c r="H107" s="7">
        <f>IFERROR(IF($H$22="","",IF((F107*1000*$H$22*$I$16)/($I$15*60)&gt;$I$14,"",(F107*1000*$H$22*$I$16)/($I$15*60))),"")</f>
        <v/>
      </c>
      <c r="I107" s="7">
        <f>IFERROR(IF($H$23="","",IF((F107*1000*$H$23*$I$16)/($I$15*60)&gt;$I$14,"",(F107*1000*$H$23*$I$16)/($I$15*60))),"")</f>
        <v/>
      </c>
      <c r="J107" s="7">
        <f>IFERROR(IF($H$24="","",IF((F107*1000*$H$24*$I$16)/($I$15*60)&gt;$I$14,"",(F107*1000*$H$24*$I$16)/($I$15*60))),"")</f>
        <v/>
      </c>
      <c r="K107" s="7">
        <f>IFERROR(IF($H$25="","",IF((F107*1000*$H$25*$I$16)/($I$15*60)&gt;$I$14,"",(F107*1000*$H$25*$I$16)/($I$15*60))),"")</f>
        <v/>
      </c>
    </row>
    <row r="108">
      <c r="A108" s="7">
        <f>IFERROR(IF($B$21="","",IF((F108*1000*$B$21*$C$16)/($C$15*60)&gt;$C$14,"",(F108*1000*$B$21*$C$16)/($C$15*60))),"")</f>
        <v/>
      </c>
      <c r="B108" s="7">
        <f>IFERROR(IF($B$22="","",IF((F108*1000*$B$22*$C$16)/($C$15*60)&gt;$C$14,"",(F108*1000*$B$22*$C$16)/($C$15*60))),"")</f>
        <v/>
      </c>
      <c r="C108" s="7">
        <f>IFERROR(IF($B$23="","",IF((F108*1000*$B$23*$C$16)/($C$15*60)&gt;$C$14,"",(F108*1000*$B$23*$C$16)/($C$15*60))),"")</f>
        <v/>
      </c>
      <c r="D108" s="7">
        <f>IFERROR(IF($B$24="","",IF((F108*1000*$B$24*$C$16)/($C$15*60)&gt;$C$14,"",(F108*1000*$B$24*$C$16)/($C$15*60))),"")</f>
        <v/>
      </c>
      <c r="E108" s="7">
        <f>IFERROR(IF($B$25="","",IF((F108*1000*$B$25*$C$16)/($C$15*60)&gt;$C$14,"",(F108*1000*$B$25*$C$16)/($C$15*60))),"")</f>
        <v/>
      </c>
      <c r="F108" s="7">
        <f>IF($N$6-(ROW()-28)*$N$5&gt;=0,$N$6-(ROW()-28)*$N$5,"")</f>
        <v/>
      </c>
      <c r="G108" s="7">
        <f>IFERROR(IF($H$21="","",IF((F108*1000*$H$21*$I$16)/($I$15*60)&gt;$I$14,"",(F108*1000*$H$21*$I$16)/($I$15*60))),"")</f>
        <v/>
      </c>
      <c r="H108" s="7">
        <f>IFERROR(IF($H$22="","",IF((F108*1000*$H$22*$I$16)/($I$15*60)&gt;$I$14,"",(F108*1000*$H$22*$I$16)/($I$15*60))),"")</f>
        <v/>
      </c>
      <c r="I108" s="7">
        <f>IFERROR(IF($H$23="","",IF((F108*1000*$H$23*$I$16)/($I$15*60)&gt;$I$14,"",(F108*1000*$H$23*$I$16)/($I$15*60))),"")</f>
        <v/>
      </c>
      <c r="J108" s="7">
        <f>IFERROR(IF($H$24="","",IF((F108*1000*$H$24*$I$16)/($I$15*60)&gt;$I$14,"",(F108*1000*$H$24*$I$16)/($I$15*60))),"")</f>
        <v/>
      </c>
      <c r="K108" s="7">
        <f>IFERROR(IF($H$25="","",IF((F108*1000*$H$25*$I$16)/($I$15*60)&gt;$I$14,"",(F108*1000*$H$25*$I$16)/($I$15*60))),"")</f>
        <v/>
      </c>
    </row>
    <row r="109">
      <c r="A109" s="7">
        <f>IFERROR(IF($B$21="","",IF((F109*1000*$B$21*$C$16)/($C$15*60)&gt;$C$14,"",(F109*1000*$B$21*$C$16)/($C$15*60))),"")</f>
        <v/>
      </c>
      <c r="B109" s="7">
        <f>IFERROR(IF($B$22="","",IF((F109*1000*$B$22*$C$16)/($C$15*60)&gt;$C$14,"",(F109*1000*$B$22*$C$16)/($C$15*60))),"")</f>
        <v/>
      </c>
      <c r="C109" s="7">
        <f>IFERROR(IF($B$23="","",IF((F109*1000*$B$23*$C$16)/($C$15*60)&gt;$C$14,"",(F109*1000*$B$23*$C$16)/($C$15*60))),"")</f>
        <v/>
      </c>
      <c r="D109" s="7">
        <f>IFERROR(IF($B$24="","",IF((F109*1000*$B$24*$C$16)/($C$15*60)&gt;$C$14,"",(F109*1000*$B$24*$C$16)/($C$15*60))),"")</f>
        <v/>
      </c>
      <c r="E109" s="7">
        <f>IFERROR(IF($B$25="","",IF((F109*1000*$B$25*$C$16)/($C$15*60)&gt;$C$14,"",(F109*1000*$B$25*$C$16)/($C$15*60))),"")</f>
        <v/>
      </c>
      <c r="F109" s="7">
        <f>IF($N$6-(ROW()-28)*$N$5&gt;=0,$N$6-(ROW()-28)*$N$5,"")</f>
        <v/>
      </c>
      <c r="G109" s="7">
        <f>IFERROR(IF($H$21="","",IF((F109*1000*$H$21*$I$16)/($I$15*60)&gt;$I$14,"",(F109*1000*$H$21*$I$16)/($I$15*60))),"")</f>
        <v/>
      </c>
      <c r="H109" s="7">
        <f>IFERROR(IF($H$22="","",IF((F109*1000*$H$22*$I$16)/($I$15*60)&gt;$I$14,"",(F109*1000*$H$22*$I$16)/($I$15*60))),"")</f>
        <v/>
      </c>
      <c r="I109" s="7">
        <f>IFERROR(IF($H$23="","",IF((F109*1000*$H$23*$I$16)/($I$15*60)&gt;$I$14,"",(F109*1000*$H$23*$I$16)/($I$15*60))),"")</f>
        <v/>
      </c>
      <c r="J109" s="7">
        <f>IFERROR(IF($H$24="","",IF((F109*1000*$H$24*$I$16)/($I$15*60)&gt;$I$14,"",(F109*1000*$H$24*$I$16)/($I$15*60))),"")</f>
        <v/>
      </c>
      <c r="K109" s="7">
        <f>IFERROR(IF($H$25="","",IF((F109*1000*$H$25*$I$16)/($I$15*60)&gt;$I$14,"",(F109*1000*$H$25*$I$16)/($I$15*60))),"")</f>
        <v/>
      </c>
    </row>
    <row r="110">
      <c r="A110" s="7">
        <f>IFERROR(IF($B$21="","",IF((F110*1000*$B$21*$C$16)/($C$15*60)&gt;$C$14,"",(F110*1000*$B$21*$C$16)/($C$15*60))),"")</f>
        <v/>
      </c>
      <c r="B110" s="7">
        <f>IFERROR(IF($B$22="","",IF((F110*1000*$B$22*$C$16)/($C$15*60)&gt;$C$14,"",(F110*1000*$B$22*$C$16)/($C$15*60))),"")</f>
        <v/>
      </c>
      <c r="C110" s="7">
        <f>IFERROR(IF($B$23="","",IF((F110*1000*$B$23*$C$16)/($C$15*60)&gt;$C$14,"",(F110*1000*$B$23*$C$16)/($C$15*60))),"")</f>
        <v/>
      </c>
      <c r="D110" s="7">
        <f>IFERROR(IF($B$24="","",IF((F110*1000*$B$24*$C$16)/($C$15*60)&gt;$C$14,"",(F110*1000*$B$24*$C$16)/($C$15*60))),"")</f>
        <v/>
      </c>
      <c r="E110" s="7">
        <f>IFERROR(IF($B$25="","",IF((F110*1000*$B$25*$C$16)/($C$15*60)&gt;$C$14,"",(F110*1000*$B$25*$C$16)/($C$15*60))),"")</f>
        <v/>
      </c>
      <c r="F110" s="7">
        <f>IF($N$6-(ROW()-28)*$N$5&gt;=0,$N$6-(ROW()-28)*$N$5,"")</f>
        <v/>
      </c>
      <c r="G110" s="7">
        <f>IFERROR(IF($H$21="","",IF((F110*1000*$H$21*$I$16)/($I$15*60)&gt;$I$14,"",(F110*1000*$H$21*$I$16)/($I$15*60))),"")</f>
        <v/>
      </c>
      <c r="H110" s="7">
        <f>IFERROR(IF($H$22="","",IF((F110*1000*$H$22*$I$16)/($I$15*60)&gt;$I$14,"",(F110*1000*$H$22*$I$16)/($I$15*60))),"")</f>
        <v/>
      </c>
      <c r="I110" s="7">
        <f>IFERROR(IF($H$23="","",IF((F110*1000*$H$23*$I$16)/($I$15*60)&gt;$I$14,"",(F110*1000*$H$23*$I$16)/($I$15*60))),"")</f>
        <v/>
      </c>
      <c r="J110" s="7">
        <f>IFERROR(IF($H$24="","",IF((F110*1000*$H$24*$I$16)/($I$15*60)&gt;$I$14,"",(F110*1000*$H$24*$I$16)/($I$15*60))),"")</f>
        <v/>
      </c>
      <c r="K110" s="7">
        <f>IFERROR(IF($H$25="","",IF((F110*1000*$H$25*$I$16)/($I$15*60)&gt;$I$14,"",(F110*1000*$H$25*$I$16)/($I$15*60))),"")</f>
        <v/>
      </c>
    </row>
    <row r="111">
      <c r="A111" s="7">
        <f>IFERROR(IF($B$21="","",IF((F111*1000*$B$21*$C$16)/($C$15*60)&gt;$C$14,"",(F111*1000*$B$21*$C$16)/($C$15*60))),"")</f>
        <v/>
      </c>
      <c r="B111" s="7">
        <f>IFERROR(IF($B$22="","",IF((F111*1000*$B$22*$C$16)/($C$15*60)&gt;$C$14,"",(F111*1000*$B$22*$C$16)/($C$15*60))),"")</f>
        <v/>
      </c>
      <c r="C111" s="7">
        <f>IFERROR(IF($B$23="","",IF((F111*1000*$B$23*$C$16)/($C$15*60)&gt;$C$14,"",(F111*1000*$B$23*$C$16)/($C$15*60))),"")</f>
        <v/>
      </c>
      <c r="D111" s="7">
        <f>IFERROR(IF($B$24="","",IF((F111*1000*$B$24*$C$16)/($C$15*60)&gt;$C$14,"",(F111*1000*$B$24*$C$16)/($C$15*60))),"")</f>
        <v/>
      </c>
      <c r="E111" s="7">
        <f>IFERROR(IF($B$25="","",IF((F111*1000*$B$25*$C$16)/($C$15*60)&gt;$C$14,"",(F111*1000*$B$25*$C$16)/($C$15*60))),"")</f>
        <v/>
      </c>
      <c r="F111" s="7">
        <f>IF($N$6-(ROW()-28)*$N$5&gt;=0,$N$6-(ROW()-28)*$N$5,"")</f>
        <v/>
      </c>
      <c r="G111" s="7">
        <f>IFERROR(IF($H$21="","",IF((F111*1000*$H$21*$I$16)/($I$15*60)&gt;$I$14,"",(F111*1000*$H$21*$I$16)/($I$15*60))),"")</f>
        <v/>
      </c>
      <c r="H111" s="7">
        <f>IFERROR(IF($H$22="","",IF((F111*1000*$H$22*$I$16)/($I$15*60)&gt;$I$14,"",(F111*1000*$H$22*$I$16)/($I$15*60))),"")</f>
        <v/>
      </c>
      <c r="I111" s="7">
        <f>IFERROR(IF($H$23="","",IF((F111*1000*$H$23*$I$16)/($I$15*60)&gt;$I$14,"",(F111*1000*$H$23*$I$16)/($I$15*60))),"")</f>
        <v/>
      </c>
      <c r="J111" s="7">
        <f>IFERROR(IF($H$24="","",IF((F111*1000*$H$24*$I$16)/($I$15*60)&gt;$I$14,"",(F111*1000*$H$24*$I$16)/($I$15*60))),"")</f>
        <v/>
      </c>
      <c r="K111" s="7">
        <f>IFERROR(IF($H$25="","",IF((F111*1000*$H$25*$I$16)/($I$15*60)&gt;$I$14,"",(F111*1000*$H$25*$I$16)/($I$15*60))),"")</f>
        <v/>
      </c>
    </row>
    <row r="112">
      <c r="A112" s="7">
        <f>IFERROR(IF($B$21="","",IF((F112*1000*$B$21*$C$16)/($C$15*60)&gt;$C$14,"",(F112*1000*$B$21*$C$16)/($C$15*60))),"")</f>
        <v/>
      </c>
      <c r="B112" s="7">
        <f>IFERROR(IF($B$22="","",IF((F112*1000*$B$22*$C$16)/($C$15*60)&gt;$C$14,"",(F112*1000*$B$22*$C$16)/($C$15*60))),"")</f>
        <v/>
      </c>
      <c r="C112" s="7">
        <f>IFERROR(IF($B$23="","",IF((F112*1000*$B$23*$C$16)/($C$15*60)&gt;$C$14,"",(F112*1000*$B$23*$C$16)/($C$15*60))),"")</f>
        <v/>
      </c>
      <c r="D112" s="7">
        <f>IFERROR(IF($B$24="","",IF((F112*1000*$B$24*$C$16)/($C$15*60)&gt;$C$14,"",(F112*1000*$B$24*$C$16)/($C$15*60))),"")</f>
        <v/>
      </c>
      <c r="E112" s="7">
        <f>IFERROR(IF($B$25="","",IF((F112*1000*$B$25*$C$16)/($C$15*60)&gt;$C$14,"",(F112*1000*$B$25*$C$16)/($C$15*60))),"")</f>
        <v/>
      </c>
      <c r="F112" s="7">
        <f>IF($N$6-(ROW()-28)*$N$5&gt;=0,$N$6-(ROW()-28)*$N$5,"")</f>
        <v/>
      </c>
      <c r="G112" s="7">
        <f>IFERROR(IF($H$21="","",IF((F112*1000*$H$21*$I$16)/($I$15*60)&gt;$I$14,"",(F112*1000*$H$21*$I$16)/($I$15*60))),"")</f>
        <v/>
      </c>
      <c r="H112" s="7">
        <f>IFERROR(IF($H$22="","",IF((F112*1000*$H$22*$I$16)/($I$15*60)&gt;$I$14,"",(F112*1000*$H$22*$I$16)/($I$15*60))),"")</f>
        <v/>
      </c>
      <c r="I112" s="7">
        <f>IFERROR(IF($H$23="","",IF((F112*1000*$H$23*$I$16)/($I$15*60)&gt;$I$14,"",(F112*1000*$H$23*$I$16)/($I$15*60))),"")</f>
        <v/>
      </c>
      <c r="J112" s="7">
        <f>IFERROR(IF($H$24="","",IF((F112*1000*$H$24*$I$16)/($I$15*60)&gt;$I$14,"",(F112*1000*$H$24*$I$16)/($I$15*60))),"")</f>
        <v/>
      </c>
      <c r="K112" s="7">
        <f>IFERROR(IF($H$25="","",IF((F112*1000*$H$25*$I$16)/($I$15*60)&gt;$I$14,"",(F112*1000*$H$25*$I$16)/($I$15*60))),"")</f>
        <v/>
      </c>
    </row>
    <row r="113">
      <c r="A113" s="7">
        <f>IFERROR(IF($B$21="","",IF((F113*1000*$B$21*$C$16)/($C$15*60)&gt;$C$14,"",(F113*1000*$B$21*$C$16)/($C$15*60))),"")</f>
        <v/>
      </c>
      <c r="B113" s="7">
        <f>IFERROR(IF($B$22="","",IF((F113*1000*$B$22*$C$16)/($C$15*60)&gt;$C$14,"",(F113*1000*$B$22*$C$16)/($C$15*60))),"")</f>
        <v/>
      </c>
      <c r="C113" s="7">
        <f>IFERROR(IF($B$23="","",IF((F113*1000*$B$23*$C$16)/($C$15*60)&gt;$C$14,"",(F113*1000*$B$23*$C$16)/($C$15*60))),"")</f>
        <v/>
      </c>
      <c r="D113" s="7">
        <f>IFERROR(IF($B$24="","",IF((F113*1000*$B$24*$C$16)/($C$15*60)&gt;$C$14,"",(F113*1000*$B$24*$C$16)/($C$15*60))),"")</f>
        <v/>
      </c>
      <c r="E113" s="7">
        <f>IFERROR(IF($B$25="","",IF((F113*1000*$B$25*$C$16)/($C$15*60)&gt;$C$14,"",(F113*1000*$B$25*$C$16)/($C$15*60))),"")</f>
        <v/>
      </c>
      <c r="F113" s="7">
        <f>IF($N$6-(ROW()-28)*$N$5&gt;=0,$N$6-(ROW()-28)*$N$5,"")</f>
        <v/>
      </c>
      <c r="G113" s="7">
        <f>IFERROR(IF($H$21="","",IF((F113*1000*$H$21*$I$16)/($I$15*60)&gt;$I$14,"",(F113*1000*$H$21*$I$16)/($I$15*60))),"")</f>
        <v/>
      </c>
      <c r="H113" s="7">
        <f>IFERROR(IF($H$22="","",IF((F113*1000*$H$22*$I$16)/($I$15*60)&gt;$I$14,"",(F113*1000*$H$22*$I$16)/($I$15*60))),"")</f>
        <v/>
      </c>
      <c r="I113" s="7">
        <f>IFERROR(IF($H$23="","",IF((F113*1000*$H$23*$I$16)/($I$15*60)&gt;$I$14,"",(F113*1000*$H$23*$I$16)/($I$15*60))),"")</f>
        <v/>
      </c>
      <c r="J113" s="7">
        <f>IFERROR(IF($H$24="","",IF((F113*1000*$H$24*$I$16)/($I$15*60)&gt;$I$14,"",(F113*1000*$H$24*$I$16)/($I$15*60))),"")</f>
        <v/>
      </c>
      <c r="K113" s="7">
        <f>IFERROR(IF($H$25="","",IF((F113*1000*$H$25*$I$16)/($I$15*60)&gt;$I$14,"",(F113*1000*$H$25*$I$16)/($I$15*60))),"")</f>
        <v/>
      </c>
    </row>
    <row r="114">
      <c r="A114" s="7">
        <f>IFERROR(IF($B$21="","",IF((F114*1000*$B$21*$C$16)/($C$15*60)&gt;$C$14,"",(F114*1000*$B$21*$C$16)/($C$15*60))),"")</f>
        <v/>
      </c>
      <c r="B114" s="7">
        <f>IFERROR(IF($B$22="","",IF((F114*1000*$B$22*$C$16)/($C$15*60)&gt;$C$14,"",(F114*1000*$B$22*$C$16)/($C$15*60))),"")</f>
        <v/>
      </c>
      <c r="C114" s="7">
        <f>IFERROR(IF($B$23="","",IF((F114*1000*$B$23*$C$16)/($C$15*60)&gt;$C$14,"",(F114*1000*$B$23*$C$16)/($C$15*60))),"")</f>
        <v/>
      </c>
      <c r="D114" s="7">
        <f>IFERROR(IF($B$24="","",IF((F114*1000*$B$24*$C$16)/($C$15*60)&gt;$C$14,"",(F114*1000*$B$24*$C$16)/($C$15*60))),"")</f>
        <v/>
      </c>
      <c r="E114" s="7">
        <f>IFERROR(IF($B$25="","",IF((F114*1000*$B$25*$C$16)/($C$15*60)&gt;$C$14,"",(F114*1000*$B$25*$C$16)/($C$15*60))),"")</f>
        <v/>
      </c>
      <c r="F114" s="7">
        <f>IF($N$6-(ROW()-28)*$N$5&gt;=0,$N$6-(ROW()-28)*$N$5,"")</f>
        <v/>
      </c>
      <c r="G114" s="7">
        <f>IFERROR(IF($H$21="","",IF((F114*1000*$H$21*$I$16)/($I$15*60)&gt;$I$14,"",(F114*1000*$H$21*$I$16)/($I$15*60))),"")</f>
        <v/>
      </c>
      <c r="H114" s="7">
        <f>IFERROR(IF($H$22="","",IF((F114*1000*$H$22*$I$16)/($I$15*60)&gt;$I$14,"",(F114*1000*$H$22*$I$16)/($I$15*60))),"")</f>
        <v/>
      </c>
      <c r="I114" s="7">
        <f>IFERROR(IF($H$23="","",IF((F114*1000*$H$23*$I$16)/($I$15*60)&gt;$I$14,"",(F114*1000*$H$23*$I$16)/($I$15*60))),"")</f>
        <v/>
      </c>
      <c r="J114" s="7">
        <f>IFERROR(IF($H$24="","",IF((F114*1000*$H$24*$I$16)/($I$15*60)&gt;$I$14,"",(F114*1000*$H$24*$I$16)/($I$15*60))),"")</f>
        <v/>
      </c>
      <c r="K114" s="7">
        <f>IFERROR(IF($H$25="","",IF((F114*1000*$H$25*$I$16)/($I$15*60)&gt;$I$14,"",(F114*1000*$H$25*$I$16)/($I$15*60))),"")</f>
        <v/>
      </c>
    </row>
    <row r="115">
      <c r="A115" s="7">
        <f>IFERROR(IF($B$21="","",IF((F115*1000*$B$21*$C$16)/($C$15*60)&gt;$C$14,"",(F115*1000*$B$21*$C$16)/($C$15*60))),"")</f>
        <v/>
      </c>
      <c r="B115" s="7">
        <f>IFERROR(IF($B$22="","",IF((F115*1000*$B$22*$C$16)/($C$15*60)&gt;$C$14,"",(F115*1000*$B$22*$C$16)/($C$15*60))),"")</f>
        <v/>
      </c>
      <c r="C115" s="7">
        <f>IFERROR(IF($B$23="","",IF((F115*1000*$B$23*$C$16)/($C$15*60)&gt;$C$14,"",(F115*1000*$B$23*$C$16)/($C$15*60))),"")</f>
        <v/>
      </c>
      <c r="D115" s="7">
        <f>IFERROR(IF($B$24="","",IF((F115*1000*$B$24*$C$16)/($C$15*60)&gt;$C$14,"",(F115*1000*$B$24*$C$16)/($C$15*60))),"")</f>
        <v/>
      </c>
      <c r="E115" s="7">
        <f>IFERROR(IF($B$25="","",IF((F115*1000*$B$25*$C$16)/($C$15*60)&gt;$C$14,"",(F115*1000*$B$25*$C$16)/($C$15*60))),"")</f>
        <v/>
      </c>
      <c r="F115" s="7">
        <f>IF($N$6-(ROW()-28)*$N$5&gt;=0,$N$6-(ROW()-28)*$N$5,"")</f>
        <v/>
      </c>
      <c r="G115" s="7">
        <f>IFERROR(IF($H$21="","",IF((F115*1000*$H$21*$I$16)/($I$15*60)&gt;$I$14,"",(F115*1000*$H$21*$I$16)/($I$15*60))),"")</f>
        <v/>
      </c>
      <c r="H115" s="7">
        <f>IFERROR(IF($H$22="","",IF((F115*1000*$H$22*$I$16)/($I$15*60)&gt;$I$14,"",(F115*1000*$H$22*$I$16)/($I$15*60))),"")</f>
        <v/>
      </c>
      <c r="I115" s="7">
        <f>IFERROR(IF($H$23="","",IF((F115*1000*$H$23*$I$16)/($I$15*60)&gt;$I$14,"",(F115*1000*$H$23*$I$16)/($I$15*60))),"")</f>
        <v/>
      </c>
      <c r="J115" s="7">
        <f>IFERROR(IF($H$24="","",IF((F115*1000*$H$24*$I$16)/($I$15*60)&gt;$I$14,"",(F115*1000*$H$24*$I$16)/($I$15*60))),"")</f>
        <v/>
      </c>
      <c r="K115" s="7">
        <f>IFERROR(IF($H$25="","",IF((F115*1000*$H$25*$I$16)/($I$15*60)&gt;$I$14,"",(F115*1000*$H$25*$I$16)/($I$15*60))),"")</f>
        <v/>
      </c>
    </row>
    <row r="116">
      <c r="A116" s="7">
        <f>IFERROR(IF($B$21="","",IF((F116*1000*$B$21*$C$16)/($C$15*60)&gt;$C$14,"",(F116*1000*$B$21*$C$16)/($C$15*60))),"")</f>
        <v/>
      </c>
      <c r="B116" s="7">
        <f>IFERROR(IF($B$22="","",IF((F116*1000*$B$22*$C$16)/($C$15*60)&gt;$C$14,"",(F116*1000*$B$22*$C$16)/($C$15*60))),"")</f>
        <v/>
      </c>
      <c r="C116" s="7">
        <f>IFERROR(IF($B$23="","",IF((F116*1000*$B$23*$C$16)/($C$15*60)&gt;$C$14,"",(F116*1000*$B$23*$C$16)/($C$15*60))),"")</f>
        <v/>
      </c>
      <c r="D116" s="7">
        <f>IFERROR(IF($B$24="","",IF((F116*1000*$B$24*$C$16)/($C$15*60)&gt;$C$14,"",(F116*1000*$B$24*$C$16)/($C$15*60))),"")</f>
        <v/>
      </c>
      <c r="E116" s="7">
        <f>IFERROR(IF($B$25="","",IF((F116*1000*$B$25*$C$16)/($C$15*60)&gt;$C$14,"",(F116*1000*$B$25*$C$16)/($C$15*60))),"")</f>
        <v/>
      </c>
      <c r="F116" s="7">
        <f>IF($N$6-(ROW()-28)*$N$5&gt;=0,$N$6-(ROW()-28)*$N$5,"")</f>
        <v/>
      </c>
      <c r="G116" s="7">
        <f>IFERROR(IF($H$21="","",IF((F116*1000*$H$21*$I$16)/($I$15*60)&gt;$I$14,"",(F116*1000*$H$21*$I$16)/($I$15*60))),"")</f>
        <v/>
      </c>
      <c r="H116" s="7">
        <f>IFERROR(IF($H$22="","",IF((F116*1000*$H$22*$I$16)/($I$15*60)&gt;$I$14,"",(F116*1000*$H$22*$I$16)/($I$15*60))),"")</f>
        <v/>
      </c>
      <c r="I116" s="7">
        <f>IFERROR(IF($H$23="","",IF((F116*1000*$H$23*$I$16)/($I$15*60)&gt;$I$14,"",(F116*1000*$H$23*$I$16)/($I$15*60))),"")</f>
        <v/>
      </c>
      <c r="J116" s="7">
        <f>IFERROR(IF($H$24="","",IF((F116*1000*$H$24*$I$16)/($I$15*60)&gt;$I$14,"",(F116*1000*$H$24*$I$16)/($I$15*60))),"")</f>
        <v/>
      </c>
      <c r="K116" s="7">
        <f>IFERROR(IF($H$25="","",IF((F116*1000*$H$25*$I$16)/($I$15*60)&gt;$I$14,"",(F116*1000*$H$25*$I$16)/($I$15*60))),"")</f>
        <v/>
      </c>
    </row>
    <row r="117">
      <c r="A117" s="7">
        <f>IFERROR(IF($B$21="","",IF((F117*1000*$B$21*$C$16)/($C$15*60)&gt;$C$14,"",(F117*1000*$B$21*$C$16)/($C$15*60))),"")</f>
        <v/>
      </c>
      <c r="B117" s="7">
        <f>IFERROR(IF($B$22="","",IF((F117*1000*$B$22*$C$16)/($C$15*60)&gt;$C$14,"",(F117*1000*$B$22*$C$16)/($C$15*60))),"")</f>
        <v/>
      </c>
      <c r="C117" s="7">
        <f>IFERROR(IF($B$23="","",IF((F117*1000*$B$23*$C$16)/($C$15*60)&gt;$C$14,"",(F117*1000*$B$23*$C$16)/($C$15*60))),"")</f>
        <v/>
      </c>
      <c r="D117" s="7">
        <f>IFERROR(IF($B$24="","",IF((F117*1000*$B$24*$C$16)/($C$15*60)&gt;$C$14,"",(F117*1000*$B$24*$C$16)/($C$15*60))),"")</f>
        <v/>
      </c>
      <c r="E117" s="7">
        <f>IFERROR(IF($B$25="","",IF((F117*1000*$B$25*$C$16)/($C$15*60)&gt;$C$14,"",(F117*1000*$B$25*$C$16)/($C$15*60))),"")</f>
        <v/>
      </c>
      <c r="F117" s="7">
        <f>IF($N$6-(ROW()-28)*$N$5&gt;=0,$N$6-(ROW()-28)*$N$5,"")</f>
        <v/>
      </c>
      <c r="G117" s="7">
        <f>IFERROR(IF($H$21="","",IF((F117*1000*$H$21*$I$16)/($I$15*60)&gt;$I$14,"",(F117*1000*$H$21*$I$16)/($I$15*60))),"")</f>
        <v/>
      </c>
      <c r="H117" s="7">
        <f>IFERROR(IF($H$22="","",IF((F117*1000*$H$22*$I$16)/($I$15*60)&gt;$I$14,"",(F117*1000*$H$22*$I$16)/($I$15*60))),"")</f>
        <v/>
      </c>
      <c r="I117" s="7">
        <f>IFERROR(IF($H$23="","",IF((F117*1000*$H$23*$I$16)/($I$15*60)&gt;$I$14,"",(F117*1000*$H$23*$I$16)/($I$15*60))),"")</f>
        <v/>
      </c>
      <c r="J117" s="7">
        <f>IFERROR(IF($H$24="","",IF((F117*1000*$H$24*$I$16)/($I$15*60)&gt;$I$14,"",(F117*1000*$H$24*$I$16)/($I$15*60))),"")</f>
        <v/>
      </c>
      <c r="K117" s="7">
        <f>IFERROR(IF($H$25="","",IF((F117*1000*$H$25*$I$16)/($I$15*60)&gt;$I$14,"",(F117*1000*$H$25*$I$16)/($I$15*60))),"")</f>
        <v/>
      </c>
    </row>
    <row r="118">
      <c r="A118" s="7">
        <f>IFERROR(IF($B$21="","",IF((F118*1000*$B$21*$C$16)/($C$15*60)&gt;$C$14,"",(F118*1000*$B$21*$C$16)/($C$15*60))),"")</f>
        <v/>
      </c>
      <c r="B118" s="7">
        <f>IFERROR(IF($B$22="","",IF((F118*1000*$B$22*$C$16)/($C$15*60)&gt;$C$14,"",(F118*1000*$B$22*$C$16)/($C$15*60))),"")</f>
        <v/>
      </c>
      <c r="C118" s="7">
        <f>IFERROR(IF($B$23="","",IF((F118*1000*$B$23*$C$16)/($C$15*60)&gt;$C$14,"",(F118*1000*$B$23*$C$16)/($C$15*60))),"")</f>
        <v/>
      </c>
      <c r="D118" s="7">
        <f>IFERROR(IF($B$24="","",IF((F118*1000*$B$24*$C$16)/($C$15*60)&gt;$C$14,"",(F118*1000*$B$24*$C$16)/($C$15*60))),"")</f>
        <v/>
      </c>
      <c r="E118" s="7">
        <f>IFERROR(IF($B$25="","",IF((F118*1000*$B$25*$C$16)/($C$15*60)&gt;$C$14,"",(F118*1000*$B$25*$C$16)/($C$15*60))),"")</f>
        <v/>
      </c>
      <c r="F118" s="7">
        <f>IF($N$6-(ROW()-28)*$N$5&gt;=0,$N$6-(ROW()-28)*$N$5,"")</f>
        <v/>
      </c>
      <c r="G118" s="7">
        <f>IFERROR(IF($H$21="","",IF((F118*1000*$H$21*$I$16)/($I$15*60)&gt;$I$14,"",(F118*1000*$H$21*$I$16)/($I$15*60))),"")</f>
        <v/>
      </c>
      <c r="H118" s="7">
        <f>IFERROR(IF($H$22="","",IF((F118*1000*$H$22*$I$16)/($I$15*60)&gt;$I$14,"",(F118*1000*$H$22*$I$16)/($I$15*60))),"")</f>
        <v/>
      </c>
      <c r="I118" s="7">
        <f>IFERROR(IF($H$23="","",IF((F118*1000*$H$23*$I$16)/($I$15*60)&gt;$I$14,"",(F118*1000*$H$23*$I$16)/($I$15*60))),"")</f>
        <v/>
      </c>
      <c r="J118" s="7">
        <f>IFERROR(IF($H$24="","",IF((F118*1000*$H$24*$I$16)/($I$15*60)&gt;$I$14,"",(F118*1000*$H$24*$I$16)/($I$15*60))),"")</f>
        <v/>
      </c>
      <c r="K118" s="7">
        <f>IFERROR(IF($H$25="","",IF((F118*1000*$H$25*$I$16)/($I$15*60)&gt;$I$14,"",(F118*1000*$H$25*$I$16)/($I$15*60))),"")</f>
        <v/>
      </c>
    </row>
  </sheetData>
  <mergeCells count="1">
    <mergeCell ref="A1:K1"/>
  </mergeCells>
  <dataValidations count="4">
    <dataValidation sqref="C4 I4" showDropDown="0" showInputMessage="0" showErrorMessage="0" allowBlank="0" type="list">
      <formula1>=Lookups!$F$3:$F$7</formula1>
    </dataValidation>
    <dataValidation sqref="C8 I8" showDropDown="0" showInputMessage="0" showErrorMessage="0" allowBlank="0" type="list">
      <formula1>=Lookups!$D$3:$D$13</formula1>
    </dataValidation>
    <dataValidation sqref="C9 I9" showDropDown="0" showInputMessage="0" showErrorMessage="0" allowBlank="0" type="list">
      <formula1>=Lookups!$A$3:$A$6</formula1>
    </dataValidation>
    <dataValidation sqref="C11 I11" showDropDown="0" showInputMessage="0" showErrorMessage="0" allowBlank="0" type="list">
      <formula1>=Lookups!$L$2:$O$2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4" max="4"/>
    <col width="16" customWidth="1" min="6" max="6"/>
    <col width="12" customWidth="1" min="7" max="7"/>
    <col width="10" customWidth="1" min="8" max="8"/>
    <col width="10" customWidth="1" min="9" max="9"/>
    <col width="10" customWidth="1" min="11" max="11"/>
    <col width="20" customWidth="1" min="12" max="12"/>
    <col width="20" customWidth="1" min="13" max="13"/>
    <col width="20" customWidth="1" min="14" max="14"/>
    <col width="24" customWidth="1" min="15" max="15"/>
  </cols>
  <sheetData>
    <row r="1">
      <c r="A1" s="8" t="inlineStr">
        <is>
          <t>Drop gear options</t>
        </is>
      </c>
      <c r="D1" s="8" t="inlineStr">
        <is>
          <t>Final drives (common)</t>
        </is>
      </c>
      <c r="F1" s="8" t="inlineStr">
        <is>
          <t>Wheel/tyre presets</t>
        </is>
      </c>
      <c r="K1" s="8" t="inlineStr">
        <is>
          <t>Gear kit ratios</t>
        </is>
      </c>
    </row>
    <row r="2">
      <c r="A2" s="8" t="inlineStr">
        <is>
          <t>Option</t>
        </is>
      </c>
      <c r="B2" s="8" t="inlineStr">
        <is>
          <t>Ratio</t>
        </is>
      </c>
      <c r="D2" s="8" t="inlineStr">
        <is>
          <t>Ratio</t>
        </is>
      </c>
      <c r="F2" s="8" t="inlineStr">
        <is>
          <t>Preset</t>
        </is>
      </c>
      <c r="G2" s="8" t="inlineStr">
        <is>
          <t>Width_mm</t>
        </is>
      </c>
      <c r="H2" s="8" t="inlineStr">
        <is>
          <t>Aspect</t>
        </is>
      </c>
      <c r="I2" s="8" t="inlineStr">
        <is>
          <t>Rim_in</t>
        </is>
      </c>
      <c r="K2" t="inlineStr">
        <is>
          <t>Gear</t>
        </is>
      </c>
      <c r="L2" s="8" t="inlineStr">
        <is>
          <t>Standard 4-synchro</t>
        </is>
      </c>
      <c r="M2" s="8" t="inlineStr">
        <is>
          <t>Close ratio (SC)</t>
        </is>
      </c>
      <c r="N2" s="8" t="inlineStr">
        <is>
          <t>Close ratio (Road)</t>
        </is>
      </c>
      <c r="O2" s="8" t="inlineStr">
        <is>
          <t>5-speed (Type-9 street)</t>
        </is>
      </c>
    </row>
    <row r="3">
      <c r="A3" t="inlineStr">
        <is>
          <t>1:1 (23/23)</t>
        </is>
      </c>
      <c r="B3" t="n">
        <v>1</v>
      </c>
      <c r="D3" t="n">
        <v>2.76</v>
      </c>
      <c r="F3" t="inlineStr">
        <is>
          <t>145/80-10</t>
        </is>
      </c>
      <c r="G3" t="n">
        <v>145</v>
      </c>
      <c r="H3" t="n">
        <v>0.8</v>
      </c>
      <c r="I3" t="n">
        <v>10</v>
      </c>
      <c r="K3" t="inlineStr">
        <is>
          <t>1st</t>
        </is>
      </c>
      <c r="L3" t="n">
        <v>3.2</v>
      </c>
      <c r="M3" t="n">
        <v>2.98</v>
      </c>
      <c r="N3" t="n">
        <v>3</v>
      </c>
      <c r="O3" t="n">
        <v>3.65</v>
      </c>
    </row>
    <row r="4">
      <c r="A4" t="inlineStr">
        <is>
          <t>1:1 (24/24)</t>
        </is>
      </c>
      <c r="B4" t="n">
        <v>1</v>
      </c>
      <c r="D4" t="n">
        <v>2.95</v>
      </c>
      <c r="F4" t="inlineStr">
        <is>
          <t>165/70-10</t>
        </is>
      </c>
      <c r="G4" t="n">
        <v>165</v>
      </c>
      <c r="H4" t="n">
        <v>0.7</v>
      </c>
      <c r="I4" t="n">
        <v>10</v>
      </c>
      <c r="K4" t="inlineStr">
        <is>
          <t>2nd</t>
        </is>
      </c>
      <c r="L4" t="n">
        <v>1.916</v>
      </c>
      <c r="M4" t="n">
        <v>1.75</v>
      </c>
      <c r="N4" t="n">
        <v>1.74</v>
      </c>
      <c r="O4" t="n">
        <v>1.97</v>
      </c>
    </row>
    <row r="5">
      <c r="A5" t="inlineStr">
        <is>
          <t>1:1.043 (23/24)</t>
        </is>
      </c>
      <c r="B5" t="n">
        <v>1.043</v>
      </c>
      <c r="D5" t="n">
        <v>3.1</v>
      </c>
      <c r="F5" t="inlineStr">
        <is>
          <t>175/50-10</t>
        </is>
      </c>
      <c r="G5" t="n">
        <v>175</v>
      </c>
      <c r="H5" t="n">
        <v>0.5</v>
      </c>
      <c r="I5" t="n">
        <v>10</v>
      </c>
      <c r="K5" t="inlineStr">
        <is>
          <t>3rd</t>
        </is>
      </c>
      <c r="L5" t="n">
        <v>1.357</v>
      </c>
      <c r="M5" t="n">
        <v>1.26</v>
      </c>
      <c r="N5" t="n">
        <v>1.27</v>
      </c>
      <c r="O5" t="n">
        <v>1.37</v>
      </c>
    </row>
    <row r="6">
      <c r="A6" t="inlineStr">
        <is>
          <t>1:0.958 (24/23)</t>
        </is>
      </c>
      <c r="B6" t="n">
        <v>0.958</v>
      </c>
      <c r="D6" t="n">
        <v>3.44</v>
      </c>
      <c r="F6" t="inlineStr">
        <is>
          <t>165/60-12</t>
        </is>
      </c>
      <c r="G6" t="n">
        <v>165</v>
      </c>
      <c r="H6" t="n">
        <v>0.6</v>
      </c>
      <c r="I6" t="n">
        <v>12</v>
      </c>
      <c r="K6" t="inlineStr">
        <is>
          <t>4th</t>
        </is>
      </c>
      <c r="L6" t="n">
        <v>1</v>
      </c>
      <c r="M6" t="n">
        <v>1</v>
      </c>
      <c r="N6" t="n">
        <v>1</v>
      </c>
      <c r="O6" t="n">
        <v>1</v>
      </c>
    </row>
    <row r="7">
      <c r="D7" t="n">
        <v>3.47</v>
      </c>
      <c r="F7" t="inlineStr">
        <is>
          <t>175/50-13</t>
        </is>
      </c>
      <c r="G7" t="n">
        <v>175</v>
      </c>
      <c r="H7" t="n">
        <v>0.5</v>
      </c>
      <c r="I7" t="n">
        <v>13</v>
      </c>
      <c r="K7" t="inlineStr">
        <is>
          <t>5th</t>
        </is>
      </c>
      <c r="O7" t="n">
        <v>0.82</v>
      </c>
    </row>
    <row r="8">
      <c r="D8" t="n">
        <v>3.55</v>
      </c>
    </row>
    <row r="9">
      <c r="D9" t="n">
        <v>3.75</v>
      </c>
    </row>
    <row r="10">
      <c r="D10" t="n">
        <v>3.88</v>
      </c>
    </row>
    <row r="11">
      <c r="D11" t="n">
        <v>4.066</v>
      </c>
    </row>
    <row r="12">
      <c r="D12" t="n">
        <v>4.2</v>
      </c>
    </row>
    <row r="13">
      <c r="D13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2026-01-22T08:27:53Z</dcterms:created>
  <dcterms:modified xmlns:dcterms="http://purl.org/dc/terms/" xmlns:xsi="http://www.w3.org/2001/XMLSchema-instance" xsi:type="dcterms:W3CDTF">2026-01-24T14:15:49Z</dcterms:modified>
</cp:coreProperties>
</file>